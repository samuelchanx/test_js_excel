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f52b137b12043a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10.10.10.5\homes\Beamftp73\Combined Report\Report Template\"/>
    </mc:Choice>
  </mc:AlternateContent>
  <xr:revisionPtr revIDLastSave="0" documentId="13_ncr:1_{BFE4293C-9D3C-43B9-8FC4-54777C14AB5C}" xr6:coauthVersionLast="47" xr6:coauthVersionMax="47" xr10:uidLastSave="{00000000-0000-0000-0000-000000000000}"/>
  <workbookProtection workbookAlgorithmName="SHA-512" workbookHashValue="9xKZ0o+ID3cQoanQYspZaVgQHlxr7BWAf/jTiBorYjlQ+IIWE/KsPNIvgoshyNpEw6lHuZUZ/ZlWR+vjao1uPQ==" workbookSaltValue="h/v71/F/B9+ELXN8BoKEfQ==" workbookSpinCount="100000" lockStructure="1"/>
  <bookViews>
    <workbookView xWindow="-120" yWindow="-120" windowWidth="29040" windowHeight="15720" tabRatio="872" activeTab="1" xr2:uid="{00000000-000D-0000-FFFF-FFFF00000000}"/>
  </bookViews>
  <sheets>
    <sheet name="Project Summary" sheetId="11" r:id="rId1"/>
    <sheet name="SA Comment" sheetId="15" r:id="rId2"/>
    <sheet name="MA Comment" sheetId="19" r:id="rId3"/>
    <sheet name="EU Comment" sheetId="21" r:id="rId4"/>
    <sheet name="EU_Chart" sheetId="27" r:id="rId5"/>
    <sheet name="WU Comment" sheetId="17" r:id="rId6"/>
    <sheet name="IEQ Comment" sheetId="25" r:id="rId7"/>
    <sheet name="IEQ_Chart" sheetId="28" r:id="rId8"/>
    <sheet name="IA Comment" sheetId="26" r:id="rId9"/>
    <sheet name="NA Comment" sheetId="14" r:id="rId10"/>
    <sheet name="Contested Credit" sheetId="13" r:id="rId11"/>
    <sheet name="Result and Graph" sheetId="3" r:id="rId12"/>
  </sheets>
  <definedNames>
    <definedName name="_xlnm._FilterDatabase" localSheetId="0" hidden="1">'Project Summary'!$A$6:$G$17</definedName>
    <definedName name="EU_1">#REF!</definedName>
    <definedName name="EU_2">#REF!</definedName>
    <definedName name="_xlnm.Print_Area" localSheetId="10">'Contested Credit'!$A$1:$G$50</definedName>
    <definedName name="_xlnm.Print_Area" localSheetId="3">'EU Comment'!$A$1:$H$220</definedName>
    <definedName name="_xlnm.Print_Area" localSheetId="4">EU_Chart!$A$1:$H$15</definedName>
    <definedName name="_xlnm.Print_Area" localSheetId="8">'IA Comment'!$A$1:$E$66</definedName>
    <definedName name="_xlnm.Print_Area" localSheetId="6">'IEQ Comment'!$A$1:$H$267</definedName>
    <definedName name="_xlnm.Print_Area" localSheetId="7">IEQ_Chart!$A$1:$H$15</definedName>
    <definedName name="_xlnm.Print_Area" localSheetId="2">'MA Comment'!$A$1:$E$119</definedName>
    <definedName name="_xlnm.Print_Area" localSheetId="9">'NA Comment'!$A$1:$E$50</definedName>
    <definedName name="_xlnm.Print_Area" localSheetId="0">'Project Summary'!$A$1:$G$70</definedName>
    <definedName name="_xlnm.Print_Area" localSheetId="11">'Result and Graph'!$A$1:$Q$118</definedName>
    <definedName name="_xlnm.Print_Area" localSheetId="1">'SA Comment'!$A$1:$E$130</definedName>
    <definedName name="_xlnm.Print_Area" localSheetId="5">'WU Comment'!$A$1:$E$62</definedName>
    <definedName name="_xlnm.Print_Titles" localSheetId="10">'Contested Credit'!$1:$11</definedName>
    <definedName name="_xlnm.Print_Titles" localSheetId="3">'EU Comment'!$1:$8</definedName>
    <definedName name="_xlnm.Print_Titles" localSheetId="8">'IA Comment'!$1:$6</definedName>
    <definedName name="_xlnm.Print_Titles" localSheetId="6">'IEQ Comment'!$1:$8</definedName>
    <definedName name="_xlnm.Print_Titles" localSheetId="2">'MA Comment'!$1:$6</definedName>
    <definedName name="_xlnm.Print_Titles" localSheetId="9">'NA Comment'!$1:$11</definedName>
    <definedName name="_xlnm.Print_Titles" localSheetId="1">'SA Comment'!$1:$6</definedName>
    <definedName name="_xlnm.Print_Titles" localSheetId="5">'WU Comment'!$1:$6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5" i="26" l="1"/>
  <c r="G23" i="26"/>
  <c r="G21" i="26"/>
  <c r="G19" i="26"/>
  <c r="G17" i="26"/>
  <c r="G15" i="26"/>
  <c r="G13" i="26"/>
  <c r="G11" i="26"/>
  <c r="G9" i="26"/>
  <c r="G7" i="26"/>
  <c r="G66" i="26" s="1"/>
  <c r="P267" i="25"/>
  <c r="O267" i="25"/>
  <c r="N267" i="25"/>
  <c r="M267" i="25"/>
  <c r="G62" i="17"/>
  <c r="G119" i="19"/>
  <c r="G130" i="15"/>
  <c r="P220" i="21"/>
  <c r="O220" i="21"/>
  <c r="N220" i="21"/>
  <c r="M220" i="21"/>
  <c r="E16" i="21"/>
  <c r="C211" i="21"/>
  <c r="C67" i="21"/>
  <c r="T297" i="15" l="1"/>
  <c r="AL297" i="25" l="1"/>
  <c r="AL296" i="25"/>
  <c r="AL295" i="25"/>
  <c r="W299" i="17"/>
  <c r="W298" i="17"/>
  <c r="W297" i="17"/>
  <c r="T316" i="17"/>
  <c r="T315" i="17"/>
  <c r="T314" i="17"/>
  <c r="T313" i="17"/>
  <c r="T312" i="17"/>
  <c r="T311" i="17"/>
  <c r="T310" i="17"/>
  <c r="T309" i="17"/>
  <c r="T308" i="17"/>
  <c r="T307" i="17"/>
  <c r="T306" i="17"/>
  <c r="T305" i="17"/>
  <c r="T304" i="17"/>
  <c r="T303" i="17"/>
  <c r="T301" i="17"/>
  <c r="T300" i="17"/>
  <c r="T299" i="17"/>
  <c r="T298" i="17"/>
  <c r="T297" i="17"/>
  <c r="AJ310" i="21"/>
  <c r="AJ309" i="21"/>
  <c r="AJ308" i="21"/>
  <c r="W299" i="19"/>
  <c r="W298" i="19"/>
  <c r="W297" i="19"/>
  <c r="T316" i="19"/>
  <c r="T315" i="19"/>
  <c r="T314" i="19"/>
  <c r="T313" i="19"/>
  <c r="T312" i="19"/>
  <c r="T311" i="19"/>
  <c r="T310" i="19"/>
  <c r="T309" i="19"/>
  <c r="T308" i="19"/>
  <c r="T307" i="19"/>
  <c r="T306" i="19"/>
  <c r="T305" i="19"/>
  <c r="T304" i="19"/>
  <c r="T303" i="19"/>
  <c r="T301" i="19"/>
  <c r="T300" i="19"/>
  <c r="T299" i="19"/>
  <c r="T298" i="19"/>
  <c r="T297" i="19"/>
  <c r="W299" i="15"/>
  <c r="W298" i="15"/>
  <c r="W297" i="15"/>
  <c r="T298" i="15"/>
  <c r="T316" i="15"/>
  <c r="T315" i="15"/>
  <c r="T314" i="15"/>
  <c r="T313" i="15"/>
  <c r="T312" i="15"/>
  <c r="T311" i="15"/>
  <c r="T310" i="15"/>
  <c r="T309" i="15"/>
  <c r="T308" i="15"/>
  <c r="T307" i="15"/>
  <c r="T306" i="15"/>
  <c r="T305" i="15"/>
  <c r="T304" i="15"/>
  <c r="T303" i="15"/>
  <c r="T301" i="15"/>
  <c r="T300" i="15"/>
  <c r="T299" i="15"/>
  <c r="L58" i="21" l="1"/>
  <c r="K58" i="21"/>
  <c r="J58" i="21"/>
  <c r="L50" i="21"/>
  <c r="K50" i="21"/>
  <c r="J50" i="21"/>
  <c r="L75" i="25" l="1"/>
  <c r="K75" i="25"/>
  <c r="J75" i="25"/>
  <c r="I75" i="25"/>
  <c r="H75" i="25"/>
  <c r="C82" i="25" s="1"/>
  <c r="G75" i="25"/>
  <c r="C81" i="25" s="1"/>
  <c r="F75" i="25"/>
  <c r="C80" i="25" s="1"/>
  <c r="E75" i="25"/>
  <c r="C79" i="25" s="1"/>
  <c r="I58" i="21"/>
  <c r="I50" i="21"/>
  <c r="AG309" i="21"/>
  <c r="AG310" i="21"/>
  <c r="AG311" i="21"/>
  <c r="AG312" i="21"/>
  <c r="AG313" i="21"/>
  <c r="AG315" i="21"/>
  <c r="AG316" i="21"/>
  <c r="AG317" i="21"/>
  <c r="AG318" i="21"/>
  <c r="AG319" i="21"/>
  <c r="AG320" i="21"/>
  <c r="AG321" i="21"/>
  <c r="AG322" i="21"/>
  <c r="AG323" i="21"/>
  <c r="AG324" i="21"/>
  <c r="AG325" i="21"/>
  <c r="AG326" i="21"/>
  <c r="AG327" i="21"/>
  <c r="AG328" i="21"/>
  <c r="V58" i="21"/>
  <c r="H58" i="21"/>
  <c r="C65" i="21" s="1"/>
  <c r="G58" i="21"/>
  <c r="C64" i="21" s="1"/>
  <c r="F58" i="21"/>
  <c r="C63" i="21" s="1"/>
  <c r="E58" i="21"/>
  <c r="C62" i="21" s="1"/>
  <c r="F50" i="21"/>
  <c r="C55" i="21" s="1"/>
  <c r="G50" i="21"/>
  <c r="C56" i="21" s="1"/>
  <c r="H50" i="21"/>
  <c r="C57" i="21" s="1"/>
  <c r="E50" i="21"/>
  <c r="C54" i="21" s="1"/>
  <c r="F42" i="21"/>
  <c r="C47" i="21" s="1"/>
  <c r="G42" i="21"/>
  <c r="C48" i="21" s="1"/>
  <c r="H42" i="21"/>
  <c r="C49" i="21" s="1"/>
  <c r="E42" i="21"/>
  <c r="C46" i="21" s="1"/>
  <c r="F34" i="21"/>
  <c r="C39" i="21" s="1"/>
  <c r="G34" i="21"/>
  <c r="C40" i="21" s="1"/>
  <c r="H34" i="21"/>
  <c r="C41" i="21" s="1"/>
  <c r="E34" i="21"/>
  <c r="V50" i="21"/>
  <c r="V42" i="21"/>
  <c r="L42" i="21"/>
  <c r="K42" i="21"/>
  <c r="J42" i="21"/>
  <c r="I42" i="21"/>
  <c r="J34" i="21"/>
  <c r="K34" i="21"/>
  <c r="L34" i="21"/>
  <c r="I34" i="21"/>
  <c r="L25" i="21"/>
  <c r="K25" i="21"/>
  <c r="J25" i="21"/>
  <c r="I25" i="21"/>
  <c r="V34" i="21"/>
  <c r="W25" i="21"/>
  <c r="V25" i="21"/>
  <c r="H25" i="21"/>
  <c r="C33" i="21" s="1"/>
  <c r="G25" i="21"/>
  <c r="C32" i="21" s="1"/>
  <c r="F25" i="21"/>
  <c r="C31" i="21" s="1"/>
  <c r="E25" i="21"/>
  <c r="C30" i="21" s="1"/>
  <c r="K7" i="13"/>
  <c r="K6" i="13"/>
  <c r="I9" i="14"/>
  <c r="E49" i="26"/>
  <c r="C51" i="26" s="1"/>
  <c r="E52" i="26"/>
  <c r="C54" i="26" s="1"/>
  <c r="E55" i="26"/>
  <c r="C57" i="26" s="1"/>
  <c r="E58" i="26"/>
  <c r="C60" i="26" s="1"/>
  <c r="E35" i="26"/>
  <c r="C37" i="26" s="1"/>
  <c r="E38" i="26"/>
  <c r="C40" i="26" s="1"/>
  <c r="E41" i="26"/>
  <c r="C43" i="26" s="1"/>
  <c r="E32" i="26"/>
  <c r="C34" i="26" s="1"/>
  <c r="J5" i="3"/>
  <c r="W249" i="25"/>
  <c r="W258" i="25"/>
  <c r="W241" i="25"/>
  <c r="W232" i="25"/>
  <c r="W224" i="25"/>
  <c r="W220" i="25"/>
  <c r="W212" i="25"/>
  <c r="W204" i="25"/>
  <c r="W195" i="25"/>
  <c r="W191" i="25"/>
  <c r="W183" i="25"/>
  <c r="W175" i="25"/>
  <c r="W166" i="25"/>
  <c r="W157" i="25"/>
  <c r="W149" i="25"/>
  <c r="W140" i="25"/>
  <c r="W134" i="25"/>
  <c r="W125" i="25"/>
  <c r="W117" i="25"/>
  <c r="W108" i="25"/>
  <c r="W100" i="25"/>
  <c r="W92" i="25"/>
  <c r="W83" i="25"/>
  <c r="W75" i="25"/>
  <c r="W67" i="25"/>
  <c r="W59" i="25"/>
  <c r="W50" i="25"/>
  <c r="W41" i="25"/>
  <c r="W33" i="25"/>
  <c r="W25" i="25"/>
  <c r="W16" i="25"/>
  <c r="W210" i="21"/>
  <c r="W201" i="21"/>
  <c r="W185" i="21"/>
  <c r="W193" i="21"/>
  <c r="W176" i="21"/>
  <c r="W171" i="21"/>
  <c r="W163" i="21"/>
  <c r="W155" i="21"/>
  <c r="W147" i="21"/>
  <c r="W138" i="21"/>
  <c r="W129" i="21"/>
  <c r="W121" i="21"/>
  <c r="W113" i="21"/>
  <c r="W104" i="21"/>
  <c r="W96" i="21"/>
  <c r="W88" i="21"/>
  <c r="W84" i="21"/>
  <c r="W76" i="21"/>
  <c r="W66" i="21"/>
  <c r="W16" i="21"/>
  <c r="K9" i="13"/>
  <c r="V258" i="25"/>
  <c r="V249" i="25"/>
  <c r="V241" i="25"/>
  <c r="V232" i="25"/>
  <c r="V224" i="25"/>
  <c r="V220" i="25"/>
  <c r="V212" i="25"/>
  <c r="V204" i="25"/>
  <c r="V195" i="25"/>
  <c r="V191" i="25"/>
  <c r="V183" i="25"/>
  <c r="V175" i="25"/>
  <c r="V166" i="25"/>
  <c r="V157" i="25"/>
  <c r="V149" i="25"/>
  <c r="V140" i="25"/>
  <c r="V134" i="25"/>
  <c r="V125" i="25"/>
  <c r="V117" i="25"/>
  <c r="V108" i="25"/>
  <c r="V100" i="25"/>
  <c r="V92" i="25"/>
  <c r="V83" i="25"/>
  <c r="V75" i="25"/>
  <c r="V67" i="25"/>
  <c r="V59" i="25"/>
  <c r="V50" i="25"/>
  <c r="V41" i="25"/>
  <c r="V33" i="25"/>
  <c r="V25" i="25"/>
  <c r="V16" i="25"/>
  <c r="V10" i="25"/>
  <c r="V210" i="21"/>
  <c r="V201" i="21"/>
  <c r="V193" i="21"/>
  <c r="V185" i="21"/>
  <c r="V176" i="21"/>
  <c r="V171" i="21"/>
  <c r="V163" i="21"/>
  <c r="V155" i="21"/>
  <c r="V147" i="21"/>
  <c r="V138" i="21"/>
  <c r="V129" i="21"/>
  <c r="V121" i="21"/>
  <c r="V113" i="21"/>
  <c r="V104" i="21"/>
  <c r="V96" i="21"/>
  <c r="V88" i="21"/>
  <c r="V84" i="21"/>
  <c r="V76" i="21"/>
  <c r="V66" i="21"/>
  <c r="V16" i="21"/>
  <c r="V10" i="21"/>
  <c r="E83" i="15"/>
  <c r="C87" i="15" s="1"/>
  <c r="F83" i="15"/>
  <c r="L175" i="25"/>
  <c r="K175" i="25"/>
  <c r="I175" i="25"/>
  <c r="J175" i="25"/>
  <c r="S23" i="3"/>
  <c r="H10" i="3" s="1"/>
  <c r="G25" i="11" s="1"/>
  <c r="S22" i="3"/>
  <c r="S21" i="3"/>
  <c r="S20" i="3"/>
  <c r="H8" i="3" s="1"/>
  <c r="G23" i="11" s="1"/>
  <c r="S19" i="3"/>
  <c r="S18" i="3"/>
  <c r="S17" i="3"/>
  <c r="S16" i="3"/>
  <c r="S15" i="3"/>
  <c r="H6" i="3" s="1"/>
  <c r="G21" i="11" s="1"/>
  <c r="F56" i="17"/>
  <c r="F50" i="17"/>
  <c r="F40" i="17"/>
  <c r="F34" i="17"/>
  <c r="F29" i="17"/>
  <c r="F24" i="17"/>
  <c r="F19" i="17"/>
  <c r="F19" i="15"/>
  <c r="J258" i="25"/>
  <c r="K258" i="25"/>
  <c r="L258" i="25"/>
  <c r="I258" i="25"/>
  <c r="J249" i="25"/>
  <c r="K249" i="25"/>
  <c r="L249" i="25"/>
  <c r="I249" i="25"/>
  <c r="J241" i="25"/>
  <c r="K241" i="25"/>
  <c r="L241" i="25"/>
  <c r="I241" i="25"/>
  <c r="J224" i="25"/>
  <c r="K224" i="25"/>
  <c r="L224" i="25"/>
  <c r="J232" i="25"/>
  <c r="K232" i="25"/>
  <c r="L232" i="25"/>
  <c r="I232" i="25"/>
  <c r="I224" i="25"/>
  <c r="J204" i="25"/>
  <c r="K204" i="25"/>
  <c r="L204" i="25"/>
  <c r="J212" i="25"/>
  <c r="K212" i="25"/>
  <c r="L212" i="25"/>
  <c r="I212" i="25"/>
  <c r="I204" i="25"/>
  <c r="J195" i="25"/>
  <c r="K195" i="25"/>
  <c r="L195" i="25"/>
  <c r="I195" i="25"/>
  <c r="J183" i="25"/>
  <c r="K183" i="25"/>
  <c r="L183" i="25"/>
  <c r="I183" i="25"/>
  <c r="J166" i="25"/>
  <c r="K166" i="25"/>
  <c r="L166" i="25"/>
  <c r="I166" i="25"/>
  <c r="L157" i="25"/>
  <c r="J149" i="25"/>
  <c r="K149" i="25"/>
  <c r="L149" i="25"/>
  <c r="I149" i="25"/>
  <c r="J157" i="25"/>
  <c r="K157" i="25"/>
  <c r="I157" i="25"/>
  <c r="J140" i="25"/>
  <c r="K140" i="25"/>
  <c r="L140" i="25"/>
  <c r="I140" i="25"/>
  <c r="J125" i="25"/>
  <c r="K125" i="25"/>
  <c r="L125" i="25"/>
  <c r="I125" i="25"/>
  <c r="J117" i="25"/>
  <c r="K117" i="25"/>
  <c r="L117" i="25"/>
  <c r="I117" i="25"/>
  <c r="J108" i="25"/>
  <c r="K108" i="25"/>
  <c r="L108" i="25"/>
  <c r="I108" i="25"/>
  <c r="J100" i="25"/>
  <c r="K100" i="25"/>
  <c r="L100" i="25"/>
  <c r="I100" i="25"/>
  <c r="J92" i="25"/>
  <c r="K92" i="25"/>
  <c r="L92" i="25"/>
  <c r="I92" i="25"/>
  <c r="J83" i="25"/>
  <c r="K83" i="25"/>
  <c r="L83" i="25"/>
  <c r="I83" i="25"/>
  <c r="J67" i="25"/>
  <c r="K67" i="25"/>
  <c r="L67" i="25"/>
  <c r="I67" i="25"/>
  <c r="J59" i="25"/>
  <c r="K59" i="25"/>
  <c r="L59" i="25"/>
  <c r="I59" i="25"/>
  <c r="J50" i="25"/>
  <c r="K50" i="25"/>
  <c r="L50" i="25"/>
  <c r="I50" i="25"/>
  <c r="J25" i="25"/>
  <c r="K25" i="25"/>
  <c r="L25" i="25"/>
  <c r="J33" i="25"/>
  <c r="K33" i="25"/>
  <c r="L33" i="25"/>
  <c r="J41" i="25"/>
  <c r="K41" i="25"/>
  <c r="L41" i="25"/>
  <c r="I33" i="25"/>
  <c r="I41" i="25"/>
  <c r="I25" i="25"/>
  <c r="J16" i="25"/>
  <c r="K16" i="25"/>
  <c r="L16" i="25"/>
  <c r="I16" i="25"/>
  <c r="J210" i="21"/>
  <c r="K210" i="21"/>
  <c r="L210" i="21"/>
  <c r="I210" i="21"/>
  <c r="J201" i="21"/>
  <c r="K201" i="21"/>
  <c r="L201" i="21"/>
  <c r="I201" i="21"/>
  <c r="J185" i="21"/>
  <c r="K185" i="21"/>
  <c r="L185" i="21"/>
  <c r="J193" i="21"/>
  <c r="K193" i="21"/>
  <c r="L193" i="21"/>
  <c r="I193" i="21"/>
  <c r="I185" i="21"/>
  <c r="J176" i="21"/>
  <c r="K176" i="21"/>
  <c r="L176" i="21"/>
  <c r="I176" i="21"/>
  <c r="J147" i="21"/>
  <c r="K147" i="21"/>
  <c r="L147" i="21"/>
  <c r="J155" i="21"/>
  <c r="K155" i="21"/>
  <c r="L155" i="21"/>
  <c r="J163" i="21"/>
  <c r="K163" i="21"/>
  <c r="L163" i="21"/>
  <c r="I155" i="21"/>
  <c r="I163" i="21"/>
  <c r="I147" i="21"/>
  <c r="J138" i="21"/>
  <c r="K138" i="21"/>
  <c r="L138" i="21"/>
  <c r="I138" i="21"/>
  <c r="J121" i="21"/>
  <c r="K121" i="21"/>
  <c r="L121" i="21"/>
  <c r="J129" i="21"/>
  <c r="K129" i="21"/>
  <c r="L129" i="21"/>
  <c r="I129" i="21"/>
  <c r="I121" i="21"/>
  <c r="J113" i="21"/>
  <c r="K113" i="21"/>
  <c r="L113" i="21"/>
  <c r="I113" i="21"/>
  <c r="J104" i="21"/>
  <c r="K104" i="21"/>
  <c r="L104" i="21"/>
  <c r="I104" i="21"/>
  <c r="J96" i="21"/>
  <c r="K96" i="21"/>
  <c r="L96" i="21"/>
  <c r="I96" i="21"/>
  <c r="J88" i="21"/>
  <c r="K88" i="21"/>
  <c r="L88" i="21"/>
  <c r="I88" i="21"/>
  <c r="J76" i="21"/>
  <c r="K76" i="21"/>
  <c r="L76" i="21"/>
  <c r="I76" i="21"/>
  <c r="J66" i="21"/>
  <c r="K66" i="21"/>
  <c r="L66" i="21"/>
  <c r="I66" i="21"/>
  <c r="J16" i="21"/>
  <c r="K16" i="21"/>
  <c r="L16" i="21"/>
  <c r="I16" i="21"/>
  <c r="F113" i="19"/>
  <c r="F108" i="19"/>
  <c r="F102" i="19"/>
  <c r="F97" i="19"/>
  <c r="F91" i="19"/>
  <c r="F86" i="19"/>
  <c r="F81" i="19"/>
  <c r="F75" i="19"/>
  <c r="F70" i="19"/>
  <c r="F65" i="19"/>
  <c r="F59" i="19"/>
  <c r="F54" i="19"/>
  <c r="F48" i="19"/>
  <c r="F43" i="19"/>
  <c r="F38" i="19"/>
  <c r="F29" i="19"/>
  <c r="F124" i="15"/>
  <c r="F109" i="15"/>
  <c r="F114" i="15"/>
  <c r="F119" i="15"/>
  <c r="F104" i="15"/>
  <c r="F98" i="15"/>
  <c r="F93" i="15"/>
  <c r="F88" i="15"/>
  <c r="F77" i="15"/>
  <c r="F72" i="15"/>
  <c r="F66" i="15"/>
  <c r="F61" i="15"/>
  <c r="F47" i="15"/>
  <c r="F41" i="15"/>
  <c r="F36" i="15"/>
  <c r="F30" i="15"/>
  <c r="F25" i="15"/>
  <c r="H4" i="28"/>
  <c r="H3" i="28"/>
  <c r="H2" i="28"/>
  <c r="H4" i="27"/>
  <c r="H3" i="27"/>
  <c r="H2" i="27"/>
  <c r="H25" i="26"/>
  <c r="E25" i="26" s="1"/>
  <c r="H23" i="26"/>
  <c r="E23" i="26" s="1"/>
  <c r="H21" i="26"/>
  <c r="E21" i="26" s="1"/>
  <c r="H19" i="26"/>
  <c r="E19" i="26" s="1"/>
  <c r="H17" i="26"/>
  <c r="E17" i="26" s="1"/>
  <c r="H15" i="26"/>
  <c r="E15" i="26" s="1"/>
  <c r="H13" i="26"/>
  <c r="E13" i="26" s="1"/>
  <c r="H11" i="26"/>
  <c r="E11" i="26" s="1"/>
  <c r="H9" i="26"/>
  <c r="E9" i="26" s="1"/>
  <c r="H7" i="26"/>
  <c r="Q220" i="21"/>
  <c r="E220" i="21" s="1"/>
  <c r="E11" i="27" s="1"/>
  <c r="E76" i="21"/>
  <c r="C80" i="21" s="1"/>
  <c r="F66" i="21"/>
  <c r="C72" i="21" s="1"/>
  <c r="G66" i="21"/>
  <c r="C73" i="21" s="1"/>
  <c r="H66" i="21"/>
  <c r="C74" i="21" s="1"/>
  <c r="E66" i="21"/>
  <c r="C71" i="21" s="1"/>
  <c r="F16" i="21"/>
  <c r="C22" i="21" s="1"/>
  <c r="E61" i="26"/>
  <c r="C65" i="26" s="1"/>
  <c r="E27" i="26"/>
  <c r="C31" i="26" s="1"/>
  <c r="E44" i="26"/>
  <c r="C48" i="26" s="1"/>
  <c r="E10" i="25"/>
  <c r="C14" i="25" s="1"/>
  <c r="R267" i="25"/>
  <c r="F267" i="25" s="1"/>
  <c r="E12" i="28" s="1"/>
  <c r="S267" i="25"/>
  <c r="G267" i="25" s="1"/>
  <c r="E13" i="28" s="1"/>
  <c r="T267" i="25"/>
  <c r="H267" i="25" s="1"/>
  <c r="E14" i="28" s="1"/>
  <c r="Q267" i="25"/>
  <c r="E267" i="25" s="1"/>
  <c r="E11" i="28" s="1"/>
  <c r="F258" i="25"/>
  <c r="C263" i="25" s="1"/>
  <c r="G258" i="25"/>
  <c r="C264" i="25" s="1"/>
  <c r="H258" i="25"/>
  <c r="C265" i="25" s="1"/>
  <c r="E258" i="25"/>
  <c r="E249" i="25"/>
  <c r="F249" i="25"/>
  <c r="C255" i="25" s="1"/>
  <c r="G249" i="25"/>
  <c r="C256" i="25" s="1"/>
  <c r="H249" i="25"/>
  <c r="C257" i="25" s="1"/>
  <c r="C254" i="25"/>
  <c r="E241" i="25"/>
  <c r="C245" i="25" s="1"/>
  <c r="F241" i="25"/>
  <c r="C246" i="25" s="1"/>
  <c r="G241" i="25"/>
  <c r="C247" i="25" s="1"/>
  <c r="H241" i="25"/>
  <c r="C248" i="25" s="1"/>
  <c r="F232" i="25"/>
  <c r="C237" i="25" s="1"/>
  <c r="G232" i="25"/>
  <c r="C238" i="25" s="1"/>
  <c r="H232" i="25"/>
  <c r="C239" i="25"/>
  <c r="E232" i="25"/>
  <c r="C236" i="25" s="1"/>
  <c r="F224" i="25"/>
  <c r="C229" i="25" s="1"/>
  <c r="G224" i="25"/>
  <c r="C230" i="25"/>
  <c r="H224" i="25"/>
  <c r="C231" i="25" s="1"/>
  <c r="E224" i="25"/>
  <c r="C228" i="25" s="1"/>
  <c r="E220" i="25"/>
  <c r="C223" i="25" s="1"/>
  <c r="F212" i="25"/>
  <c r="C217" i="25" s="1"/>
  <c r="G212" i="25"/>
  <c r="C218" i="25" s="1"/>
  <c r="H212" i="25"/>
  <c r="C219" i="25"/>
  <c r="E212" i="25"/>
  <c r="C216" i="25" s="1"/>
  <c r="F204" i="25"/>
  <c r="G204" i="25"/>
  <c r="C210" i="25" s="1"/>
  <c r="H204" i="25"/>
  <c r="C211" i="25" s="1"/>
  <c r="E204" i="25"/>
  <c r="C208" i="25" s="1"/>
  <c r="F195" i="25"/>
  <c r="C200" i="25" s="1"/>
  <c r="G195" i="25"/>
  <c r="C201" i="25" s="1"/>
  <c r="H195" i="25"/>
  <c r="C202" i="25" s="1"/>
  <c r="E195" i="25"/>
  <c r="C199" i="25" s="1"/>
  <c r="E191" i="25"/>
  <c r="C194" i="25" s="1"/>
  <c r="E183" i="25"/>
  <c r="F183" i="25"/>
  <c r="C188" i="25" s="1"/>
  <c r="G183" i="25"/>
  <c r="C189" i="25" s="1"/>
  <c r="H183" i="25"/>
  <c r="F175" i="25"/>
  <c r="C180" i="25" s="1"/>
  <c r="G175" i="25"/>
  <c r="C181" i="25" s="1"/>
  <c r="H175" i="25"/>
  <c r="C182" i="25" s="1"/>
  <c r="E175" i="25"/>
  <c r="C179" i="25" s="1"/>
  <c r="F166" i="25"/>
  <c r="C171" i="25" s="1"/>
  <c r="G166" i="25"/>
  <c r="C172" i="25" s="1"/>
  <c r="H166" i="25"/>
  <c r="C173" i="25" s="1"/>
  <c r="E166" i="25"/>
  <c r="C170" i="25" s="1"/>
  <c r="E157" i="25"/>
  <c r="C162" i="25" s="1"/>
  <c r="F157" i="25"/>
  <c r="C163" i="25" s="1"/>
  <c r="G157" i="25"/>
  <c r="C164" i="25" s="1"/>
  <c r="H157" i="25"/>
  <c r="C165" i="25" s="1"/>
  <c r="E149" i="25"/>
  <c r="C153" i="25" s="1"/>
  <c r="F149" i="25"/>
  <c r="C154" i="25" s="1"/>
  <c r="G149" i="25"/>
  <c r="C155" i="25" s="1"/>
  <c r="H149" i="25"/>
  <c r="C156" i="25" s="1"/>
  <c r="E140" i="25"/>
  <c r="C145" i="25" s="1"/>
  <c r="F140" i="25"/>
  <c r="C146" i="25" s="1"/>
  <c r="G140" i="25"/>
  <c r="C147" i="25" s="1"/>
  <c r="H140" i="25"/>
  <c r="C148" i="25" s="1"/>
  <c r="E134" i="25"/>
  <c r="C138" i="25"/>
  <c r="F125" i="25"/>
  <c r="C131" i="25" s="1"/>
  <c r="G125" i="25"/>
  <c r="C132" i="25" s="1"/>
  <c r="H125" i="25"/>
  <c r="C133" i="25"/>
  <c r="E125" i="25"/>
  <c r="C130" i="25" s="1"/>
  <c r="E117" i="25"/>
  <c r="C121" i="25" s="1"/>
  <c r="F117" i="25"/>
  <c r="C122" i="25"/>
  <c r="G117" i="25"/>
  <c r="C123" i="25" s="1"/>
  <c r="H117" i="25"/>
  <c r="C124" i="25" s="1"/>
  <c r="E108" i="25"/>
  <c r="C113" i="25" s="1"/>
  <c r="F108" i="25"/>
  <c r="C114" i="25" s="1"/>
  <c r="G108" i="25"/>
  <c r="C115" i="25" s="1"/>
  <c r="H108" i="25"/>
  <c r="C116" i="25" s="1"/>
  <c r="E100" i="25"/>
  <c r="C104" i="25" s="1"/>
  <c r="F100" i="25"/>
  <c r="C105" i="25" s="1"/>
  <c r="G100" i="25"/>
  <c r="C106" i="25" s="1"/>
  <c r="H100" i="25"/>
  <c r="C107" i="25" s="1"/>
  <c r="F92" i="25"/>
  <c r="C97" i="25" s="1"/>
  <c r="G92" i="25"/>
  <c r="C98" i="25" s="1"/>
  <c r="H92" i="25"/>
  <c r="C99" i="25" s="1"/>
  <c r="E92" i="25"/>
  <c r="C96" i="25" s="1"/>
  <c r="F83" i="25"/>
  <c r="C88" i="25" s="1"/>
  <c r="G83" i="25"/>
  <c r="C89" i="25" s="1"/>
  <c r="H83" i="25"/>
  <c r="C90" i="25" s="1"/>
  <c r="E83" i="25"/>
  <c r="C87" i="25" s="1"/>
  <c r="F67" i="25"/>
  <c r="C72" i="25" s="1"/>
  <c r="G67" i="25"/>
  <c r="C73" i="25" s="1"/>
  <c r="H67" i="25"/>
  <c r="C74" i="25" s="1"/>
  <c r="E67" i="25"/>
  <c r="C71" i="25" s="1"/>
  <c r="E59" i="25"/>
  <c r="C63" i="25" s="1"/>
  <c r="H59" i="25"/>
  <c r="C66" i="25" s="1"/>
  <c r="F59" i="25"/>
  <c r="C64" i="25" s="1"/>
  <c r="G59" i="25"/>
  <c r="C65" i="25" s="1"/>
  <c r="E50" i="25"/>
  <c r="C55" i="25" s="1"/>
  <c r="H50" i="25"/>
  <c r="C58" i="25" s="1"/>
  <c r="F50" i="25"/>
  <c r="C56" i="25" s="1"/>
  <c r="G50" i="25"/>
  <c r="C57" i="25" s="1"/>
  <c r="E41" i="25"/>
  <c r="C45" i="25" s="1"/>
  <c r="F41" i="25"/>
  <c r="C46" i="25" s="1"/>
  <c r="G41" i="25"/>
  <c r="C47" i="25" s="1"/>
  <c r="H41" i="25"/>
  <c r="C48" i="25" s="1"/>
  <c r="E33" i="25"/>
  <c r="C37" i="25" s="1"/>
  <c r="F33" i="25"/>
  <c r="C38" i="25" s="1"/>
  <c r="G33" i="25"/>
  <c r="C39" i="25" s="1"/>
  <c r="H33" i="25"/>
  <c r="C40" i="25" s="1"/>
  <c r="F25" i="25"/>
  <c r="C30" i="25" s="1"/>
  <c r="G25" i="25"/>
  <c r="C31" i="25" s="1"/>
  <c r="H25" i="25"/>
  <c r="C32" i="25" s="1"/>
  <c r="E25" i="25"/>
  <c r="C29" i="25" s="1"/>
  <c r="F16" i="25"/>
  <c r="C21" i="25" s="1"/>
  <c r="G16" i="25"/>
  <c r="H16" i="25"/>
  <c r="C23" i="25" s="1"/>
  <c r="E16" i="25"/>
  <c r="C20" i="25" s="1"/>
  <c r="E171" i="21"/>
  <c r="C175" i="21" s="1"/>
  <c r="C262" i="25"/>
  <c r="C209" i="25"/>
  <c r="C190" i="25"/>
  <c r="C187" i="25"/>
  <c r="C22" i="25"/>
  <c r="E210" i="21"/>
  <c r="C215" i="21" s="1"/>
  <c r="F210" i="21"/>
  <c r="C216" i="21" s="1"/>
  <c r="G210" i="21"/>
  <c r="C217" i="21" s="1"/>
  <c r="H210" i="21"/>
  <c r="C218" i="21" s="1"/>
  <c r="Z6" i="25"/>
  <c r="AA3" i="25" s="1"/>
  <c r="F12" i="28" s="1"/>
  <c r="H62" i="17"/>
  <c r="E62" i="17" s="1"/>
  <c r="C9" i="3" s="1"/>
  <c r="C24" i="11" s="1"/>
  <c r="E56" i="17"/>
  <c r="C60" i="17" s="1"/>
  <c r="E50" i="17"/>
  <c r="C54" i="17" s="1"/>
  <c r="E45" i="17"/>
  <c r="C49" i="17" s="1"/>
  <c r="E40" i="17"/>
  <c r="C44" i="17" s="1"/>
  <c r="E34" i="17"/>
  <c r="C39" i="17"/>
  <c r="E29" i="17"/>
  <c r="C33" i="17" s="1"/>
  <c r="E24" i="17"/>
  <c r="C28" i="17" s="1"/>
  <c r="E19" i="17"/>
  <c r="C23" i="17"/>
  <c r="E13" i="17"/>
  <c r="C17" i="17" s="1"/>
  <c r="E8" i="17"/>
  <c r="C12" i="17" s="1"/>
  <c r="H129" i="21"/>
  <c r="C136" i="21" s="1"/>
  <c r="F104" i="21"/>
  <c r="C109" i="21" s="1"/>
  <c r="G104" i="21"/>
  <c r="C110" i="21" s="1"/>
  <c r="H104" i="21"/>
  <c r="C111" i="21" s="1"/>
  <c r="H96" i="21"/>
  <c r="C103" i="21" s="1"/>
  <c r="E84" i="21"/>
  <c r="C87" i="21" s="1"/>
  <c r="C21" i="21"/>
  <c r="E201" i="21"/>
  <c r="C205" i="21" s="1"/>
  <c r="E193" i="21"/>
  <c r="C197" i="21" s="1"/>
  <c r="E185" i="21"/>
  <c r="C189" i="21" s="1"/>
  <c r="E176" i="21"/>
  <c r="C181" i="21" s="1"/>
  <c r="E163" i="21"/>
  <c r="C167" i="21" s="1"/>
  <c r="E155" i="21"/>
  <c r="C159" i="21" s="1"/>
  <c r="E147" i="21"/>
  <c r="C151" i="21" s="1"/>
  <c r="E138" i="21"/>
  <c r="C143" i="21" s="1"/>
  <c r="E129" i="21"/>
  <c r="C133" i="21" s="1"/>
  <c r="E121" i="21"/>
  <c r="C125" i="21" s="1"/>
  <c r="H113" i="21"/>
  <c r="C120" i="21" s="1"/>
  <c r="E113" i="21"/>
  <c r="C117" i="21" s="1"/>
  <c r="E104" i="21"/>
  <c r="C108" i="21" s="1"/>
  <c r="E96" i="21"/>
  <c r="C100" i="21" s="1"/>
  <c r="F88" i="21"/>
  <c r="C93" i="21" s="1"/>
  <c r="G88" i="21"/>
  <c r="C94" i="21" s="1"/>
  <c r="H88" i="21"/>
  <c r="C95" i="21" s="1"/>
  <c r="E88" i="21"/>
  <c r="C92" i="21" s="1"/>
  <c r="F76" i="21"/>
  <c r="C81" i="21" s="1"/>
  <c r="G76" i="21"/>
  <c r="C82" i="21" s="1"/>
  <c r="H76" i="21"/>
  <c r="C83" i="21" s="1"/>
  <c r="G16" i="21"/>
  <c r="C23" i="21" s="1"/>
  <c r="H16" i="21"/>
  <c r="C24" i="21" s="1"/>
  <c r="E10" i="21"/>
  <c r="C14" i="21" s="1"/>
  <c r="Z6" i="21"/>
  <c r="AA5" i="21" s="1"/>
  <c r="F14" i="27" s="1"/>
  <c r="H201" i="21"/>
  <c r="C208" i="21" s="1"/>
  <c r="G201" i="21"/>
  <c r="C207" i="21" s="1"/>
  <c r="F201" i="21"/>
  <c r="C206" i="21" s="1"/>
  <c r="H193" i="21"/>
  <c r="C200" i="21" s="1"/>
  <c r="G193" i="21"/>
  <c r="C199" i="21" s="1"/>
  <c r="F193" i="21"/>
  <c r="C198" i="21" s="1"/>
  <c r="H185" i="21"/>
  <c r="C192" i="21" s="1"/>
  <c r="G185" i="21"/>
  <c r="C191" i="21" s="1"/>
  <c r="F185" i="21"/>
  <c r="C190" i="21" s="1"/>
  <c r="H176" i="21"/>
  <c r="C184" i="21" s="1"/>
  <c r="G176" i="21"/>
  <c r="C183" i="21" s="1"/>
  <c r="F176" i="21"/>
  <c r="C182" i="21" s="1"/>
  <c r="H163" i="21"/>
  <c r="C170" i="21" s="1"/>
  <c r="G163" i="21"/>
  <c r="C169" i="21" s="1"/>
  <c r="F163" i="21"/>
  <c r="C168" i="21" s="1"/>
  <c r="H155" i="21"/>
  <c r="C162" i="21" s="1"/>
  <c r="G155" i="21"/>
  <c r="C161" i="21" s="1"/>
  <c r="F155" i="21"/>
  <c r="C160" i="21" s="1"/>
  <c r="H147" i="21"/>
  <c r="C154" i="21" s="1"/>
  <c r="G147" i="21"/>
  <c r="C153" i="21" s="1"/>
  <c r="F147" i="21"/>
  <c r="C152" i="21" s="1"/>
  <c r="H138" i="21"/>
  <c r="C146" i="21" s="1"/>
  <c r="G138" i="21"/>
  <c r="C145" i="21" s="1"/>
  <c r="F138" i="21"/>
  <c r="C144" i="21" s="1"/>
  <c r="G129" i="21"/>
  <c r="C135" i="21" s="1"/>
  <c r="F129" i="21"/>
  <c r="C134" i="21" s="1"/>
  <c r="H121" i="21"/>
  <c r="C128" i="21" s="1"/>
  <c r="G121" i="21"/>
  <c r="C127" i="21" s="1"/>
  <c r="F121" i="21"/>
  <c r="C126" i="21" s="1"/>
  <c r="G113" i="21"/>
  <c r="C119" i="21" s="1"/>
  <c r="F113" i="21"/>
  <c r="C118" i="21" s="1"/>
  <c r="G96" i="21"/>
  <c r="C102" i="21" s="1"/>
  <c r="H119" i="19"/>
  <c r="I7" i="14" s="1"/>
  <c r="H130" i="15"/>
  <c r="E130" i="15" s="1"/>
  <c r="E14" i="15"/>
  <c r="C18" i="15" s="1"/>
  <c r="E52" i="15"/>
  <c r="C55" i="15" s="1"/>
  <c r="E56" i="15"/>
  <c r="C60" i="15"/>
  <c r="E34" i="19"/>
  <c r="C37" i="19" s="1"/>
  <c r="E113" i="19"/>
  <c r="C117" i="19" s="1"/>
  <c r="E108" i="19"/>
  <c r="C112" i="19" s="1"/>
  <c r="E102" i="19"/>
  <c r="C106" i="19" s="1"/>
  <c r="E97" i="19"/>
  <c r="C101" i="19" s="1"/>
  <c r="E91" i="19"/>
  <c r="C96" i="19" s="1"/>
  <c r="E86" i="19"/>
  <c r="C90" i="19" s="1"/>
  <c r="E81" i="19"/>
  <c r="C85" i="19" s="1"/>
  <c r="E75" i="19"/>
  <c r="C80" i="19" s="1"/>
  <c r="E70" i="19"/>
  <c r="C74" i="19" s="1"/>
  <c r="E65" i="19"/>
  <c r="C69" i="19" s="1"/>
  <c r="E59" i="19"/>
  <c r="C63" i="19" s="1"/>
  <c r="E54" i="19"/>
  <c r="C58" i="19" s="1"/>
  <c r="E48" i="19"/>
  <c r="C53" i="19" s="1"/>
  <c r="E43" i="19"/>
  <c r="C47" i="19" s="1"/>
  <c r="E38" i="19"/>
  <c r="C42" i="19" s="1"/>
  <c r="E29" i="19"/>
  <c r="C33" i="19" s="1"/>
  <c r="E23" i="19"/>
  <c r="C27" i="19" s="1"/>
  <c r="E18" i="19"/>
  <c r="C22" i="19" s="1"/>
  <c r="E13" i="19"/>
  <c r="C17" i="19" s="1"/>
  <c r="E8" i="19"/>
  <c r="C12" i="19" s="1"/>
  <c r="E124" i="15"/>
  <c r="C128" i="15" s="1"/>
  <c r="E119" i="15"/>
  <c r="C123" i="15"/>
  <c r="E114" i="15"/>
  <c r="C118" i="15" s="1"/>
  <c r="E109" i="15"/>
  <c r="C113" i="15" s="1"/>
  <c r="E104" i="15"/>
  <c r="C108" i="15" s="1"/>
  <c r="E98" i="15"/>
  <c r="C102" i="15" s="1"/>
  <c r="E93" i="15"/>
  <c r="C97" i="15" s="1"/>
  <c r="E88" i="15"/>
  <c r="C92" i="15" s="1"/>
  <c r="E77" i="15"/>
  <c r="C82" i="15"/>
  <c r="E72" i="15"/>
  <c r="C76" i="15" s="1"/>
  <c r="E66" i="15"/>
  <c r="C71" i="15" s="1"/>
  <c r="E61" i="15"/>
  <c r="C65" i="15" s="1"/>
  <c r="E47" i="15"/>
  <c r="C51" i="15" s="1"/>
  <c r="E41" i="15"/>
  <c r="C45" i="15" s="1"/>
  <c r="E36" i="15"/>
  <c r="C40" i="15" s="1"/>
  <c r="E30" i="15"/>
  <c r="C35" i="15" s="1"/>
  <c r="E25" i="15"/>
  <c r="C29" i="15" s="1"/>
  <c r="E19" i="15"/>
  <c r="C24" i="15" s="1"/>
  <c r="E8" i="15"/>
  <c r="C12" i="15" s="1"/>
  <c r="V344" i="26"/>
  <c r="V343" i="26"/>
  <c r="V342" i="26"/>
  <c r="V341" i="26"/>
  <c r="V340" i="26"/>
  <c r="V339" i="26"/>
  <c r="V338" i="26"/>
  <c r="V337" i="26"/>
  <c r="V336" i="26"/>
  <c r="V335" i="26"/>
  <c r="V334" i="26"/>
  <c r="V333" i="26"/>
  <c r="V332" i="26"/>
  <c r="V331" i="26"/>
  <c r="V329" i="26"/>
  <c r="V328" i="26"/>
  <c r="V327" i="26"/>
  <c r="V326" i="26"/>
  <c r="V325" i="26"/>
  <c r="V324" i="26"/>
  <c r="AI314" i="25"/>
  <c r="AI313" i="25"/>
  <c r="AI312" i="25"/>
  <c r="AI311" i="25"/>
  <c r="AI310" i="25"/>
  <c r="AI309" i="25"/>
  <c r="AI308" i="25"/>
  <c r="AI307" i="25"/>
  <c r="AI306" i="25"/>
  <c r="AI305" i="25"/>
  <c r="AI304" i="25"/>
  <c r="AI303" i="25"/>
  <c r="AI302" i="25"/>
  <c r="AI301" i="25"/>
  <c r="AI299" i="25"/>
  <c r="AI298" i="25"/>
  <c r="AI297" i="25"/>
  <c r="AI296" i="25"/>
  <c r="AI295" i="25"/>
  <c r="A25" i="3"/>
  <c r="G3" i="13"/>
  <c r="E3" i="14"/>
  <c r="E3" i="26"/>
  <c r="H3" i="25"/>
  <c r="E3" i="17"/>
  <c r="H3" i="21"/>
  <c r="E3" i="19"/>
  <c r="E3" i="15"/>
  <c r="E2" i="15"/>
  <c r="G3" i="11"/>
  <c r="G2" i="13"/>
  <c r="G4" i="13"/>
  <c r="E4" i="14"/>
  <c r="E2" i="14"/>
  <c r="E4" i="26"/>
  <c r="E2" i="26"/>
  <c r="H4" i="25"/>
  <c r="H2" i="25"/>
  <c r="E4" i="17"/>
  <c r="E2" i="17"/>
  <c r="H4" i="21"/>
  <c r="E4" i="19"/>
  <c r="H2" i="21"/>
  <c r="E2" i="19"/>
  <c r="E4" i="15"/>
  <c r="G2" i="11"/>
  <c r="G4" i="11"/>
  <c r="C19" i="3"/>
  <c r="C20" i="3"/>
  <c r="C21" i="3"/>
  <c r="C22" i="3"/>
  <c r="R220" i="21"/>
  <c r="F220" i="21" s="1"/>
  <c r="E12" i="27" s="1"/>
  <c r="F96" i="21"/>
  <c r="C101" i="21" s="1"/>
  <c r="S220" i="21"/>
  <c r="G220" i="21" s="1"/>
  <c r="E13" i="27" s="1"/>
  <c r="T220" i="21"/>
  <c r="H220" i="21" s="1"/>
  <c r="E14" i="27" s="1"/>
  <c r="C38" i="21"/>
  <c r="AA3" i="21"/>
  <c r="F12" i="27" s="1"/>
  <c r="AA2" i="21"/>
  <c r="F11" i="27" s="1"/>
  <c r="H7" i="3" l="1"/>
  <c r="G22" i="11" s="1"/>
  <c r="C6" i="3"/>
  <c r="C21" i="11" s="1"/>
  <c r="H9" i="3"/>
  <c r="G24" i="11" s="1"/>
  <c r="C68" i="21"/>
  <c r="H66" i="26"/>
  <c r="E66" i="26" s="1"/>
  <c r="C11" i="3" s="1"/>
  <c r="C26" i="11" s="1"/>
  <c r="H12" i="27"/>
  <c r="I6" i="14"/>
  <c r="AA4" i="21"/>
  <c r="F13" i="27" s="1"/>
  <c r="H13" i="27" s="1"/>
  <c r="E7" i="26"/>
  <c r="F129" i="15"/>
  <c r="E129" i="15" s="1"/>
  <c r="F118" i="19"/>
  <c r="E118" i="19" s="1"/>
  <c r="B7" i="3" s="1"/>
  <c r="L20" i="3" s="1"/>
  <c r="M20" i="3" s="1"/>
  <c r="L266" i="25"/>
  <c r="H266" i="25" s="1"/>
  <c r="D14" i="28" s="1"/>
  <c r="F61" i="17"/>
  <c r="E61" i="17" s="1"/>
  <c r="B9" i="3" s="1"/>
  <c r="J22" i="3" s="1"/>
  <c r="K22" i="3" s="1"/>
  <c r="H14" i="27"/>
  <c r="E119" i="19"/>
  <c r="C7" i="3" s="1"/>
  <c r="C22" i="11" s="1"/>
  <c r="H11" i="27"/>
  <c r="H15" i="27" s="1"/>
  <c r="C8" i="3" s="1"/>
  <c r="C23" i="11" s="1"/>
  <c r="C18" i="21"/>
  <c r="S24" i="3"/>
  <c r="S37" i="3" s="1"/>
  <c r="H12" i="28"/>
  <c r="I219" i="21"/>
  <c r="E219" i="21" s="1"/>
  <c r="D11" i="27" s="1"/>
  <c r="G11" i="27" s="1"/>
  <c r="G15" i="27" s="1"/>
  <c r="B8" i="3" s="1"/>
  <c r="B23" i="11" s="1"/>
  <c r="L219" i="21"/>
  <c r="H219" i="21" s="1"/>
  <c r="D14" i="27" s="1"/>
  <c r="G14" i="27" s="1"/>
  <c r="C212" i="21"/>
  <c r="K219" i="21"/>
  <c r="G219" i="21" s="1"/>
  <c r="D13" i="27" s="1"/>
  <c r="J219" i="21"/>
  <c r="F219" i="21" s="1"/>
  <c r="D12" i="27" s="1"/>
  <c r="G12" i="27" s="1"/>
  <c r="J266" i="25"/>
  <c r="F266" i="25" s="1"/>
  <c r="D12" i="28" s="1"/>
  <c r="G12" i="28" s="1"/>
  <c r="K266" i="25"/>
  <c r="G266" i="25" s="1"/>
  <c r="D13" i="28" s="1"/>
  <c r="I266" i="25"/>
  <c r="E266" i="25" s="1"/>
  <c r="D11" i="28" s="1"/>
  <c r="K8" i="13"/>
  <c r="K10" i="13"/>
  <c r="AA4" i="25"/>
  <c r="F13" i="28" s="1"/>
  <c r="H13" i="28" s="1"/>
  <c r="I8" i="14"/>
  <c r="I10" i="14"/>
  <c r="AA5" i="25"/>
  <c r="F14" i="28" s="1"/>
  <c r="H14" i="28" s="1"/>
  <c r="AA2" i="25"/>
  <c r="F11" i="28" s="1"/>
  <c r="H11" i="28" s="1"/>
  <c r="H15" i="28" s="1"/>
  <c r="C10" i="3" s="1"/>
  <c r="C25" i="11" s="1"/>
  <c r="G11" i="3" l="1"/>
  <c r="B24" i="11"/>
  <c r="J19" i="3"/>
  <c r="K19" i="3" s="1"/>
  <c r="J21" i="3"/>
  <c r="K21" i="3" s="1"/>
  <c r="D9" i="3"/>
  <c r="E9" i="3"/>
  <c r="D24" i="11" s="1"/>
  <c r="J20" i="3"/>
  <c r="K20" i="3" s="1"/>
  <c r="L22" i="3"/>
  <c r="M22" i="3" s="1"/>
  <c r="E7" i="3"/>
  <c r="B6" i="3"/>
  <c r="D22" i="3" s="1"/>
  <c r="E22" i="3" s="1"/>
  <c r="F19" i="3"/>
  <c r="G19" i="3" s="1"/>
  <c r="E6" i="3"/>
  <c r="R30" i="3" s="1"/>
  <c r="S30" i="3" s="1"/>
  <c r="D19" i="3"/>
  <c r="E19" i="3" s="1"/>
  <c r="D6" i="3"/>
  <c r="D20" i="3"/>
  <c r="E20" i="3" s="1"/>
  <c r="D21" i="3"/>
  <c r="E21" i="3" s="1"/>
  <c r="G13" i="27"/>
  <c r="G13" i="28"/>
  <c r="B21" i="11"/>
  <c r="F21" i="3"/>
  <c r="G21" i="3" s="1"/>
  <c r="G14" i="28"/>
  <c r="B22" i="11"/>
  <c r="L19" i="3"/>
  <c r="M19" i="3" s="1"/>
  <c r="D7" i="3"/>
  <c r="L21" i="3"/>
  <c r="M21" i="3" s="1"/>
  <c r="F22" i="3"/>
  <c r="G22" i="3" s="1"/>
  <c r="F20" i="3"/>
  <c r="G20" i="3" s="1"/>
  <c r="E8" i="3"/>
  <c r="R32" i="3" s="1"/>
  <c r="S32" i="3" s="1"/>
  <c r="D8" i="3"/>
  <c r="G7" i="3"/>
  <c r="F22" i="11" s="1"/>
  <c r="D22" i="11"/>
  <c r="R35" i="3"/>
  <c r="S35" i="3" s="1"/>
  <c r="H11" i="3" s="1"/>
  <c r="G26" i="11" s="1"/>
  <c r="F26" i="11"/>
  <c r="G11" i="28"/>
  <c r="G15" i="28" s="1"/>
  <c r="B10" i="3" s="1"/>
  <c r="G9" i="3" l="1"/>
  <c r="F24" i="11" s="1"/>
  <c r="D21" i="11"/>
  <c r="G6" i="3"/>
  <c r="D23" i="11"/>
  <c r="G8" i="3"/>
  <c r="F23" i="11" s="1"/>
  <c r="H21" i="3"/>
  <c r="I21" i="3" s="1"/>
  <c r="H20" i="3"/>
  <c r="I20" i="3" s="1"/>
  <c r="E10" i="3"/>
  <c r="D10" i="3"/>
  <c r="H22" i="3"/>
  <c r="I22" i="3" s="1"/>
  <c r="B25" i="11"/>
  <c r="H19" i="3"/>
  <c r="I19" i="3" s="1"/>
  <c r="S38" i="3"/>
  <c r="H12" i="3" s="1"/>
  <c r="G12" i="3" l="1"/>
  <c r="R36" i="3" s="1"/>
  <c r="S36" i="3" s="1"/>
  <c r="F21" i="11"/>
  <c r="F27" i="11" s="1"/>
  <c r="G27" i="11"/>
  <c r="C17" i="11"/>
  <c r="G10" i="3"/>
  <c r="F25" i="11" s="1"/>
  <c r="D25" i="11"/>
  <c r="R34" i="3"/>
  <c r="S34" i="3" s="1"/>
</calcChain>
</file>

<file path=xl/sharedStrings.xml><?xml version="1.0" encoding="utf-8"?>
<sst xmlns="http://schemas.openxmlformats.org/spreadsheetml/2006/main" count="1734" uniqueCount="662">
  <si>
    <t>1 credit for scoring at least 75% of the applicable security measures and facilities for the building.</t>
  </si>
  <si>
    <t>1 credit for demonstrating compliance with the design requirements specified in ProPECC PN 2/96.</t>
  </si>
  <si>
    <t xml:space="preserve"> </t>
  </si>
  <si>
    <t>PR</t>
  </si>
  <si>
    <t>NA</t>
  </si>
  <si>
    <t>EXCLUSIONS: Buildings where air-conditioning is provided by window units or split units.</t>
  </si>
  <si>
    <t>1 credit where the prescribed lighting performance in each type of common or service space in respect of light output and lighting quality is achieved.</t>
  </si>
  <si>
    <t>EXCLUSIONS: Buildings/premises where speech intelligibility is not important, and rooms of a special acoustical nature.</t>
  </si>
  <si>
    <t>EXCLUSIONS: Buildings/premises which are inherently noisy and unaffected by noise from adjacent premises/spaces.</t>
  </si>
  <si>
    <t>1 credit for demonstrating background noise levels are within the prescribed criteria.</t>
  </si>
  <si>
    <t>Pre-requisite</t>
  </si>
  <si>
    <t>EXCLUSIONS: Projects where demolition is not required or is not under the Client’s control.</t>
  </si>
  <si>
    <t>4.P</t>
  </si>
  <si>
    <t>IA 1</t>
  </si>
  <si>
    <t>IA 2</t>
  </si>
  <si>
    <t>IA 3</t>
  </si>
  <si>
    <t>BEAM PROFESSIONAL</t>
  </si>
  <si>
    <t>SA 3</t>
  </si>
  <si>
    <t>SITE PLANNING AND DESIGN</t>
  </si>
  <si>
    <t>SA 4</t>
  </si>
  <si>
    <t>SA 5</t>
  </si>
  <si>
    <t>SA 6</t>
  </si>
  <si>
    <t>SA 7</t>
  </si>
  <si>
    <t>SA 8</t>
  </si>
  <si>
    <t>SA 9</t>
  </si>
  <si>
    <t>EXCLUSIONS: Buildings where daylight is of no value to neighbouring properties.</t>
  </si>
  <si>
    <t>SA 10</t>
  </si>
  <si>
    <t>EMISSIONS FROM THE SITE</t>
  </si>
  <si>
    <t>SA 11</t>
  </si>
  <si>
    <t>SA 13</t>
  </si>
  <si>
    <t>SA 14</t>
  </si>
  <si>
    <t>SA 15</t>
  </si>
  <si>
    <t>% Area</t>
  </si>
  <si>
    <t>A</t>
  </si>
  <si>
    <t>B</t>
  </si>
  <si>
    <t>Total Area</t>
  </si>
  <si>
    <t>1 credit where development does not have a negative impact on sites of cultural heritage.</t>
  </si>
  <si>
    <t>1 credit for designs for which the access to daylight of neighbouring sensitive buildings is maintained to the prescribed level.</t>
  </si>
  <si>
    <t>1 credit for providing adequate mitigation measures for construction noise for all Noise Sensitive Receivers.</t>
  </si>
  <si>
    <t>EXCLUSIONS: Buildings without carpark or carpark area less than 10% CFA.</t>
  </si>
  <si>
    <t>1 credit for undertaking adequate measures to reduce water pollution during construction.</t>
  </si>
  <si>
    <t>5.P</t>
  </si>
  <si>
    <t>WU P1</t>
  </si>
  <si>
    <t>WU P2</t>
  </si>
  <si>
    <t>WU 1</t>
  </si>
  <si>
    <t>WATER CONSERVATION</t>
  </si>
  <si>
    <t>WU 2</t>
  </si>
  <si>
    <t>WU 3</t>
  </si>
  <si>
    <t>WU 4</t>
  </si>
  <si>
    <t>WU 5</t>
  </si>
  <si>
    <t>WU 6</t>
  </si>
  <si>
    <t>EFFLUENT</t>
  </si>
  <si>
    <t>EXCLUSIONS: Where soft landscaping and planting coverage is less than 50% of the area of the building footprint.</t>
  </si>
  <si>
    <t>EXCLUSIONS: Buildings in which facilities and/or appliances are not installed by the developer.</t>
  </si>
  <si>
    <t>1 credit for demonstrating a reduction in annual sewage volumes by 20% or more.</t>
  </si>
  <si>
    <t xml:space="preserve">Type of Area Classification </t>
  </si>
  <si>
    <t>Credits Applicable</t>
  </si>
  <si>
    <t>Credit(s) Achieved</t>
  </si>
  <si>
    <t>SITE LOCATION</t>
  </si>
  <si>
    <t>SA 1</t>
  </si>
  <si>
    <t>Bonus</t>
  </si>
  <si>
    <t>SA 2</t>
  </si>
  <si>
    <t>EFFICIENT USE OF MATERIALS</t>
  </si>
  <si>
    <t>WASTE MANAGEMENT</t>
  </si>
  <si>
    <t>EXCLUSIONS: Buildings other than residential buildings.</t>
  </si>
  <si>
    <t>EXCLUSIONS: Buildings where appliances are not provided by the developer.</t>
  </si>
  <si>
    <t>3.P</t>
  </si>
  <si>
    <t>PREREQUISITE</t>
  </si>
  <si>
    <t>MA P1</t>
  </si>
  <si>
    <t>MA P2</t>
  </si>
  <si>
    <t>MA P3</t>
  </si>
  <si>
    <t>MA P4</t>
  </si>
  <si>
    <t>MA 1</t>
  </si>
  <si>
    <t>EXCLUSIONS: Buildings on reclaimed land or Greenfield sites.</t>
  </si>
  <si>
    <t>MA 2</t>
  </si>
  <si>
    <t>MA 3</t>
  </si>
  <si>
    <t>MA 4</t>
  </si>
  <si>
    <t>MA 5</t>
  </si>
  <si>
    <t>MA 6</t>
  </si>
  <si>
    <t>MA 7</t>
  </si>
  <si>
    <t>SELECTION OF MATERIALS</t>
  </si>
  <si>
    <t>MA 8</t>
  </si>
  <si>
    <t>MA 9</t>
  </si>
  <si>
    <t>MA 10</t>
  </si>
  <si>
    <t>MA 11</t>
  </si>
  <si>
    <t>EU P1</t>
  </si>
  <si>
    <t>ANNUAL ENERGY USE</t>
  </si>
  <si>
    <t>EU 1</t>
  </si>
  <si>
    <t>EU 2</t>
  </si>
  <si>
    <t>ENERGY EFFICIENT SYSTEMS</t>
  </si>
  <si>
    <t>EU 3</t>
  </si>
  <si>
    <t>EU 4</t>
  </si>
  <si>
    <t>EU 5</t>
  </si>
  <si>
    <t>EU 6</t>
  </si>
  <si>
    <t>ENERGY EFFICIENT EQUIPMENT</t>
  </si>
  <si>
    <t>EU 7</t>
  </si>
  <si>
    <t>EU 8</t>
  </si>
  <si>
    <t>EU 9</t>
  </si>
  <si>
    <t>EU 10</t>
  </si>
  <si>
    <t>EU 11</t>
  </si>
  <si>
    <t>EU 12</t>
  </si>
  <si>
    <t>BUILDING DESIGN FOR ENERGY EFFICIENCY</t>
  </si>
  <si>
    <t>EU 13</t>
  </si>
  <si>
    <t>Virgin forest products are not used for temporary works during construction.</t>
  </si>
  <si>
    <t>Provision of facilities for the collection, sorting, storage and disposal of waste and recovered materials.</t>
  </si>
  <si>
    <t>Category</t>
  </si>
  <si>
    <t>Applicable Credits</t>
  </si>
  <si>
    <t>% of Achieved Credit</t>
  </si>
  <si>
    <t>Category Weight Factor</t>
  </si>
  <si>
    <t>Weighted Achieved Score</t>
  </si>
  <si>
    <t>Achieved Sub-Rating</t>
  </si>
  <si>
    <t>Energy Use</t>
  </si>
  <si>
    <t>Water Use</t>
  </si>
  <si>
    <t>Indoor Environmental Quality</t>
  </si>
  <si>
    <t>Overall</t>
  </si>
  <si>
    <t>SA</t>
  </si>
  <si>
    <t>EU</t>
  </si>
  <si>
    <t>IEQ</t>
  </si>
  <si>
    <t>WU</t>
  </si>
  <si>
    <t>MA</t>
  </si>
  <si>
    <t>Bronze</t>
  </si>
  <si>
    <t>Silver</t>
  </si>
  <si>
    <t>Gold</t>
  </si>
  <si>
    <t>Platinum</t>
  </si>
  <si>
    <r>
      <t>BEAM Plus</t>
    </r>
    <r>
      <rPr>
        <b/>
        <i/>
        <sz val="18"/>
        <rFont val="Arial"/>
        <family val="2"/>
      </rPr>
      <t xml:space="preserve"> Scoring Spreadsheet</t>
    </r>
  </si>
  <si>
    <t>6.P</t>
  </si>
  <si>
    <t>IEQ P1</t>
  </si>
  <si>
    <t>SECURITY</t>
  </si>
  <si>
    <t>IEQ 1</t>
  </si>
  <si>
    <t>HYGIENE</t>
  </si>
  <si>
    <t>IEQ 2</t>
  </si>
  <si>
    <t>IEQ 3</t>
  </si>
  <si>
    <t>EXCLUSIONS: Residential buildings.</t>
  </si>
  <si>
    <t>IEQ 4</t>
  </si>
  <si>
    <t>INDOOR AIR QUALITY</t>
  </si>
  <si>
    <t>IEQ 6</t>
  </si>
  <si>
    <t>IEQ 7</t>
  </si>
  <si>
    <t>IEQ 8</t>
  </si>
  <si>
    <t>EXCLUSIONS: Buildings not provided with enclosed or semi-enclosed car parks.</t>
  </si>
  <si>
    <t>VENTILATION</t>
  </si>
  <si>
    <t>IEQ 9</t>
  </si>
  <si>
    <t>EXCLUSIONS: Residential and similar buildings without central air conditioning.</t>
  </si>
  <si>
    <t>IEQ 10</t>
  </si>
  <si>
    <t>EXCLUSIONS: Buildings not designed to utilise natural ventilation.</t>
  </si>
  <si>
    <t>IEQ 11</t>
  </si>
  <si>
    <t>EXCLUSIONS: Item b) is excluded for residential buildings.</t>
  </si>
  <si>
    <t>EXCLUSIONS: Spaces covered under the section on Localised Ventilation.</t>
  </si>
  <si>
    <t>THERMAL COMFORT</t>
  </si>
  <si>
    <t>IEQ 13</t>
  </si>
  <si>
    <t>IEQ 14</t>
  </si>
  <si>
    <t>EXCLUSIONS: Buildings that are not designed to utilise natural ventilation.</t>
  </si>
  <si>
    <t>LIGHTING QUALITY</t>
  </si>
  <si>
    <t>IEQ 15</t>
  </si>
  <si>
    <t>IEQ 16</t>
  </si>
  <si>
    <t>EXCLUSIONS: Residential buildings, hotels and apartment buildings.</t>
  </si>
  <si>
    <t>IEQ 17</t>
  </si>
  <si>
    <t>ACOUSTICS AND NOISE</t>
  </si>
  <si>
    <t>IEQ 18</t>
  </si>
  <si>
    <t>IEQ 19</t>
  </si>
  <si>
    <t>IEQ 20</t>
  </si>
  <si>
    <t>EXCLUSIONS: Buildings/premises in which speech intelligibility is not important.</t>
  </si>
  <si>
    <t>IEQ 21</t>
  </si>
  <si>
    <t>BUILDING AMENITIES</t>
  </si>
  <si>
    <t>IEQ 22</t>
  </si>
  <si>
    <t>IEQ 23</t>
  </si>
  <si>
    <t>Category</t>
    <phoneticPr fontId="24" type="noConversion"/>
  </si>
  <si>
    <t>Applicable Credits</t>
    <phoneticPr fontId="24" type="noConversion"/>
  </si>
  <si>
    <t>Achieved Credits</t>
    <phoneticPr fontId="24" type="noConversion"/>
  </si>
  <si>
    <t>% of Achieved Credits</t>
    <phoneticPr fontId="24" type="noConversion"/>
  </si>
  <si>
    <t>Weighted Achieved Score</t>
    <phoneticPr fontId="24" type="noConversion"/>
  </si>
  <si>
    <t>Achieved Sub-Rating</t>
    <phoneticPr fontId="24" type="noConversion"/>
  </si>
  <si>
    <t>Site Aspects</t>
  </si>
  <si>
    <t>Credit</t>
  </si>
  <si>
    <t>2.P</t>
  </si>
  <si>
    <t>SA P1</t>
  </si>
  <si>
    <t>Contaminated Land</t>
  </si>
  <si>
    <t>1 BONUS credit for conducting a site contamination assessment and implementing measures for rehabilitation, and/or proper preparation of sites and structures adjacent to landfill sites.</t>
  </si>
  <si>
    <t>SA 2a</t>
  </si>
  <si>
    <t>Two Credits</t>
  </si>
  <si>
    <t>Local Transport</t>
  </si>
  <si>
    <t xml:space="preserve">Car Parking Provisions </t>
  </si>
  <si>
    <t>SA 2b</t>
  </si>
  <si>
    <t>One Credit</t>
  </si>
  <si>
    <t>Public Transport</t>
  </si>
  <si>
    <t>1 credit for availability of convenient pedestrian access to mainstream public transport.</t>
  </si>
  <si>
    <t>SA 3a</t>
  </si>
  <si>
    <t>Provision of Basic Services</t>
  </si>
  <si>
    <t>SA 3b</t>
  </si>
  <si>
    <t>Neighbourhood Recreational Facilities</t>
  </si>
  <si>
    <t>SA 3c</t>
  </si>
  <si>
    <t>1 credit where at least 2 different recreational facilities or at least 5 different basic services are located within the Site and will be made available for public use.</t>
  </si>
  <si>
    <t xml:space="preserve">One Credit </t>
  </si>
  <si>
    <t>One Bonus Credit</t>
  </si>
  <si>
    <t>Site Design Appraisal</t>
  </si>
  <si>
    <t>1 BONUS credit for 100% of relevant sub-items of the Urban Design Guidelines are achieved.</t>
  </si>
  <si>
    <t>Ecological Impact</t>
  </si>
  <si>
    <t>SA 7a</t>
  </si>
  <si>
    <t>Landscaping and Planters</t>
  </si>
  <si>
    <t>Hard Landscaping</t>
  </si>
  <si>
    <t>SA 7b</t>
  </si>
  <si>
    <t>Soft Landscaping</t>
  </si>
  <si>
    <t>SA 8a</t>
  </si>
  <si>
    <t>Microclimate Around Buildings</t>
  </si>
  <si>
    <t>Wind Amplification</t>
  </si>
  <si>
    <t>SA 8b</t>
  </si>
  <si>
    <t>Elevated Temperatures</t>
  </si>
  <si>
    <t>SA 8c</t>
  </si>
  <si>
    <t>Air Ventilation Assessment</t>
  </si>
  <si>
    <t>Neighbourhood Daylight Access</t>
  </si>
  <si>
    <t>Environmental Management Plan</t>
  </si>
  <si>
    <t>Noise from Building Equipment</t>
  </si>
  <si>
    <t xml:space="preserve">Light Pollution </t>
  </si>
  <si>
    <t>1 credit for demonstrating that obtrusive light from exterior lighting meets the specified performance for the environmental zone in which the building development is located.</t>
  </si>
  <si>
    <t xml:space="preserve"> </t>
    <phoneticPr fontId="31" type="noConversion"/>
  </si>
  <si>
    <t>Materials Aspects</t>
  </si>
  <si>
    <t>Timber Used for Temporary Works</t>
  </si>
  <si>
    <t>Use of Non-CFC Based Refrigerants</t>
  </si>
  <si>
    <t>Waste Recycling Facilities</t>
  </si>
  <si>
    <t>Building Reuse</t>
  </si>
  <si>
    <t>Modular and Standardised Design</t>
  </si>
  <si>
    <t>Prefabrication</t>
  </si>
  <si>
    <t>MA 4a</t>
  </si>
  <si>
    <t>Spatial Adaptability</t>
  </si>
  <si>
    <t>1 credit for designs providing spatial flexibility that can adapt spaces for different uses, and allows for expansion to permit additional spatial requirements to be accommodated.</t>
  </si>
  <si>
    <t>MA 4b</t>
  </si>
  <si>
    <t>Flexible Engineering Services</t>
  </si>
  <si>
    <t>1 credit for flexible design of services that can adapt to changes of layout and use.</t>
  </si>
  <si>
    <t>MA 4c</t>
  </si>
  <si>
    <t>Structural Adaptability</t>
  </si>
  <si>
    <t>Rapidly Renewable Materials</t>
  </si>
  <si>
    <r>
      <t>One Credit</t>
    </r>
    <r>
      <rPr>
        <b/>
        <sz val="10"/>
        <color indexed="8"/>
        <rFont val="Arial"/>
        <family val="2"/>
      </rPr>
      <t xml:space="preserve"> </t>
    </r>
  </si>
  <si>
    <t xml:space="preserve">Sustainable Forest Products </t>
  </si>
  <si>
    <t>MA 7a</t>
  </si>
  <si>
    <t>Recycled Materials</t>
  </si>
  <si>
    <t>MA 7b</t>
  </si>
  <si>
    <t>Building Structure</t>
  </si>
  <si>
    <t>1 credit where at least 10% of all building materials used for facade and structural components are recycled materials.</t>
  </si>
  <si>
    <t>MA 7c</t>
  </si>
  <si>
    <t>MA 8a</t>
  </si>
  <si>
    <t>Ozone Depleting Substances</t>
  </si>
  <si>
    <t>Refrigerants</t>
  </si>
  <si>
    <t>MA 8b</t>
  </si>
  <si>
    <t>Ozone Depleting Materials</t>
  </si>
  <si>
    <t xml:space="preserve">Two Credits </t>
  </si>
  <si>
    <t>Demolition Waste Reduction</t>
  </si>
  <si>
    <t>Construction Waste Reduction</t>
  </si>
  <si>
    <t>Area Categories</t>
  </si>
  <si>
    <t>Minimum Energy Performance</t>
  </si>
  <si>
    <t>Fifteen Credits</t>
  </si>
  <si>
    <r>
      <t>Reduction of CO</t>
    </r>
    <r>
      <rPr>
        <b/>
        <vertAlign val="subscript"/>
        <sz val="10"/>
        <color indexed="8"/>
        <rFont val="Arial"/>
        <family val="2"/>
      </rPr>
      <t>2</t>
    </r>
    <r>
      <rPr>
        <b/>
        <sz val="10"/>
        <color indexed="8"/>
        <rFont val="Arial"/>
        <family val="2"/>
      </rPr>
      <t xml:space="preserve"> Emission</t>
    </r>
  </si>
  <si>
    <t>Three Credits</t>
  </si>
  <si>
    <t>1 BONUS credit for demonstrating the major materials with low embodied energy are used in the project utilizing the LCA results.</t>
  </si>
  <si>
    <t>Five Credits</t>
  </si>
  <si>
    <t xml:space="preserve">Renewable Energy Systems </t>
  </si>
  <si>
    <t xml:space="preserve">Clothes Drying Facilities </t>
  </si>
  <si>
    <t>Energy Efficient Appliances</t>
  </si>
  <si>
    <t>EU 10a</t>
  </si>
  <si>
    <t>Testing and Commissioning</t>
  </si>
  <si>
    <t>Commissioning Specifications</t>
  </si>
  <si>
    <t>EU 10b</t>
  </si>
  <si>
    <t>Commissioning Plan</t>
  </si>
  <si>
    <t>1 credit for the appointment of a commissioning authority and provision of a detailed commissioning plan that embraces all specified commissioning work.</t>
  </si>
  <si>
    <t>EU 10c</t>
  </si>
  <si>
    <t>Commissioning</t>
  </si>
  <si>
    <t>1 credit for ensuring full and complete commissioning of all systems, equipment and components that impact on energy use and indoor environmental quality.</t>
  </si>
  <si>
    <t>EU 10d</t>
  </si>
  <si>
    <t>1 credit for providing fully detailed commissioning reports for all systems, equipment and components that impact on energy use and indoor environmental quality.</t>
  </si>
  <si>
    <t>EU 10e</t>
  </si>
  <si>
    <t>Independent Commissioning Authority</t>
  </si>
  <si>
    <t>EU 11a</t>
  </si>
  <si>
    <t>Operations and Maintenance Manual</t>
  </si>
  <si>
    <t>1 credit for providing a fully documented operations and maintenance manual to the minimum specified.</t>
  </si>
  <si>
    <t>EU 11b</t>
  </si>
  <si>
    <t>Energy Management Manual</t>
  </si>
  <si>
    <t>EU 11c</t>
  </si>
  <si>
    <t>Operator Training and Operation and Maintenance Facilities</t>
  </si>
  <si>
    <t>Metering and Monitoring</t>
  </si>
  <si>
    <t>Energy Efficient Building Layout</t>
  </si>
  <si>
    <t>[xxxx]</t>
  </si>
  <si>
    <t>Water Quality Survey</t>
  </si>
  <si>
    <t>Minimum Water Saving Performance</t>
  </si>
  <si>
    <t>Annual Water Use</t>
  </si>
  <si>
    <t>Monitoring and Control</t>
  </si>
  <si>
    <t xml:space="preserve">Water Efficient Irrigation </t>
  </si>
  <si>
    <t>WU 4a</t>
  </si>
  <si>
    <t>Water Recycling</t>
  </si>
  <si>
    <t>Harvested Rainwater</t>
  </si>
  <si>
    <t>WU 4b</t>
  </si>
  <si>
    <t>Recycled Water</t>
  </si>
  <si>
    <t>WU 4c</t>
  </si>
  <si>
    <t>A Combination</t>
  </si>
  <si>
    <t>Water Efficient Appliances</t>
  </si>
  <si>
    <t>Effluent Discharge to Foul Sewers</t>
  </si>
  <si>
    <t>Minimum Ventilation Performance</t>
  </si>
  <si>
    <t>Security</t>
  </si>
  <si>
    <t>Biological Contamination</t>
  </si>
  <si>
    <t>Waste Disposal Facilities</t>
  </si>
  <si>
    <t>IEQ 5a</t>
  </si>
  <si>
    <t>Construction IAQ Management</t>
  </si>
  <si>
    <t xml:space="preserve">Construction IAQ management </t>
  </si>
  <si>
    <t>1 credit for implementing a Construction IAQ Management Plan.</t>
  </si>
  <si>
    <t>IEQ 5b</t>
  </si>
  <si>
    <t>Outdoor Sources of Air Pollution</t>
  </si>
  <si>
    <t>Three credits</t>
  </si>
  <si>
    <t>Indoor Sources of Air Pollution</t>
  </si>
  <si>
    <t>IAQ in Car Parks</t>
  </si>
  <si>
    <t>Increased Ventilation</t>
  </si>
  <si>
    <t>Background Ventilation</t>
  </si>
  <si>
    <t>IEQ 11a</t>
  </si>
  <si>
    <t>1 credit for the provision of an adequate ventilation system for rooms/areas where significant indoor pollution sources are generated.</t>
  </si>
  <si>
    <t>1 credit for the provision of a general exhaust system for future tenants.</t>
  </si>
  <si>
    <t>IEQ 12a</t>
  </si>
  <si>
    <t>Ventilation in Common Areas</t>
  </si>
  <si>
    <t>1 credit for demonstrating that all enclosed common areas in a building are provided with adequate ventilation.</t>
  </si>
  <si>
    <t>IEQ 12b</t>
  </si>
  <si>
    <t>1 BONUS credit where the provision for ventilation is by natural means.</t>
  </si>
  <si>
    <t>IEQ 13a</t>
  </si>
  <si>
    <t>Temperature</t>
  </si>
  <si>
    <t>IEQ 13b</t>
  </si>
  <si>
    <t>IEQ 14a</t>
  </si>
  <si>
    <t>Thermal Comfort in Naturally Ventilated Premises</t>
  </si>
  <si>
    <t>Performance with Natural Ventilation</t>
  </si>
  <si>
    <t>IEQ 14b</t>
  </si>
  <si>
    <t>Natural Lighting</t>
  </si>
  <si>
    <t>Interior Lighting in Normally Occupied Areas</t>
  </si>
  <si>
    <t>Interior Lighting in Areas Not Normally Occupied</t>
  </si>
  <si>
    <t>Room Acoustics</t>
  </si>
  <si>
    <t>Noise Isolation</t>
  </si>
  <si>
    <t>Background Noise</t>
  </si>
  <si>
    <t>IEQ 23a</t>
  </si>
  <si>
    <t xml:space="preserve">Amenity Features </t>
  </si>
  <si>
    <t>IEQ 23b</t>
  </si>
  <si>
    <t>Building Category</t>
  </si>
  <si>
    <t xml:space="preserve">Appendix A - Credit Summary </t>
    <phoneticPr fontId="31" type="noConversion"/>
  </si>
  <si>
    <t>1 + 5 Bonus</t>
  </si>
  <si>
    <t>Overall Rating</t>
  </si>
  <si>
    <t>Weighting Factor</t>
    <phoneticPr fontId="24" type="noConversion"/>
  </si>
  <si>
    <t xml:space="preserve"> </t>
    <phoneticPr fontId="31" type="noConversion"/>
  </si>
  <si>
    <t xml:space="preserve"> </t>
    <phoneticPr fontId="31" type="noConversion"/>
  </si>
  <si>
    <t>Project Name:</t>
  </si>
  <si>
    <t>BEAM Version:</t>
  </si>
  <si>
    <t>BEAM Assessor :</t>
  </si>
  <si>
    <t xml:space="preserve">Name:  </t>
  </si>
  <si>
    <t>Responsible Discipline(s): (e.g. Energy, Water and Indoor Environmental Quality aspects)</t>
  </si>
  <si>
    <t>Proposed Rating:</t>
  </si>
  <si>
    <t xml:space="preserve"> </t>
    <phoneticPr fontId="31" type="noConversion"/>
  </si>
  <si>
    <t xml:space="preserve"> Project Summary</t>
    <phoneticPr fontId="31" type="noConversion"/>
  </si>
  <si>
    <r>
      <t>1.</t>
    </r>
    <r>
      <rPr>
        <b/>
        <sz val="7"/>
        <color indexed="63"/>
        <rFont val="Times New Roman"/>
        <family val="1"/>
      </rPr>
      <t xml:space="preserve">       </t>
    </r>
    <r>
      <rPr>
        <b/>
        <sz val="10"/>
        <color indexed="63"/>
        <rFont val="Arial"/>
        <family val="2"/>
      </rPr>
      <t>DISCUSSION</t>
    </r>
    <r>
      <rPr>
        <sz val="10"/>
        <color indexed="63"/>
        <rFont val="Arial"/>
        <family val="2"/>
      </rPr>
      <t xml:space="preserve"> </t>
    </r>
  </si>
  <si>
    <t>The following table summary indicates credits where the Assessor has disagreed with the Applicant’s claim:</t>
  </si>
  <si>
    <t>Applicant Claimed</t>
  </si>
  <si>
    <t>BAS Comment</t>
  </si>
  <si>
    <t>[insert Applicants opinion/ comment]</t>
  </si>
  <si>
    <t>[insert your comment]</t>
  </si>
  <si>
    <t>Appendix C - Contested Credit</t>
    <phoneticPr fontId="31" type="noConversion"/>
  </si>
  <si>
    <t>APPENDIX C - Schedule of Contested Credits</t>
  </si>
  <si>
    <t>APPENDIX B - Schedule of Not Applicable (NA) Credits</t>
    <phoneticPr fontId="31" type="noConversion"/>
  </si>
  <si>
    <t>Appendix B - Schedule of Not Applicable (NA) Credits</t>
    <phoneticPr fontId="31" type="noConversion"/>
  </si>
  <si>
    <t>Description</t>
    <phoneticPr fontId="31" type="noConversion"/>
  </si>
  <si>
    <r>
      <t xml:space="preserve">[insert </t>
    </r>
    <r>
      <rPr>
        <sz val="10"/>
        <rFont val="Arial"/>
        <family val="2"/>
      </rPr>
      <t>reason for NA]</t>
    </r>
    <phoneticPr fontId="31" type="noConversion"/>
  </si>
  <si>
    <t xml:space="preserve"> </t>
    <phoneticPr fontId="0" type="noConversion"/>
  </si>
  <si>
    <t>*  All BONUS credits shall ONLY be counted in Innovation section</t>
  </si>
  <si>
    <t>Overall Performance</t>
  </si>
  <si>
    <t>Achieved Credit(AP)</t>
    <phoneticPr fontId="0" type="noConversion"/>
  </si>
  <si>
    <t>--</t>
    <phoneticPr fontId="0" type="noConversion"/>
  </si>
  <si>
    <t>Graph</t>
    <phoneticPr fontId="0" type="noConversion"/>
  </si>
  <si>
    <t>Not achieved Credit</t>
    <phoneticPr fontId="0" type="noConversion"/>
  </si>
  <si>
    <t>Assessment</t>
    <phoneticPr fontId="31" type="noConversion"/>
  </si>
  <si>
    <t xml:space="preserve"> </t>
    <phoneticPr fontId="31" type="noConversion"/>
  </si>
  <si>
    <t>SA 12</t>
    <phoneticPr fontId="31" type="noConversion"/>
  </si>
  <si>
    <t xml:space="preserve"> </t>
    <phoneticPr fontId="31" type="noConversion"/>
  </si>
  <si>
    <t xml:space="preserve"> </t>
    <phoneticPr fontId="31" type="noConversion"/>
  </si>
  <si>
    <t xml:space="preserve">Appendix A - Credit Summary </t>
    <phoneticPr fontId="31" type="noConversion"/>
  </si>
  <si>
    <t>Total credits available</t>
    <phoneticPr fontId="31" type="noConversion"/>
  </si>
  <si>
    <t>Credits achieved</t>
    <phoneticPr fontId="31" type="noConversion"/>
  </si>
  <si>
    <t>% of total CFA</t>
    <phoneticPr fontId="31" type="noConversion"/>
  </si>
  <si>
    <t>Weighted credits available</t>
    <phoneticPr fontId="31" type="noConversion"/>
  </si>
  <si>
    <t>Weighted credits achieved</t>
    <phoneticPr fontId="31" type="noConversion"/>
  </si>
  <si>
    <t>IEQ 11b</t>
    <phoneticPr fontId="31" type="noConversion"/>
  </si>
  <si>
    <t xml:space="preserve">Total IEQ Credit  </t>
    <phoneticPr fontId="31" type="noConversion"/>
  </si>
  <si>
    <t>NS</t>
  </si>
  <si>
    <t>Project Number:</t>
  </si>
  <si>
    <t>Provisional Assessment</t>
  </si>
  <si>
    <r>
      <t>2.</t>
    </r>
    <r>
      <rPr>
        <b/>
        <sz val="7"/>
        <color indexed="63"/>
        <rFont val="Arial"/>
        <family val="2"/>
      </rPr>
      <t xml:space="preserve">       </t>
    </r>
    <r>
      <rPr>
        <b/>
        <sz val="10"/>
        <color indexed="63"/>
        <rFont val="Arial"/>
        <family val="2"/>
      </rPr>
      <t>SCHEDULE OF CONTESTED CREDITS</t>
    </r>
  </si>
  <si>
    <t>1B</t>
  </si>
  <si>
    <t>Number of Achieved MA Credit</t>
  </si>
  <si>
    <t>Sub-Total Number of Applicable WU Credit</t>
  </si>
  <si>
    <t>Number of Achieved WU Credit</t>
  </si>
  <si>
    <t>C</t>
  </si>
  <si>
    <t>D</t>
  </si>
  <si>
    <t>Sub-Total Number of Applicable EU Credit</t>
  </si>
  <si>
    <t>Number of Achieved EU Credit</t>
  </si>
  <si>
    <t xml:space="preserve">Appendix A - Credit Summary </t>
    <phoneticPr fontId="30" type="noConversion"/>
  </si>
  <si>
    <t>Innovations And Additions</t>
  </si>
  <si>
    <t>Bonus Credit</t>
  </si>
  <si>
    <t>Refer section SA 1</t>
  </si>
  <si>
    <t>100% of Relevant Sub-Items of the Urban Design Guidelines are Achieved</t>
  </si>
  <si>
    <t>Refer section SA 4</t>
  </si>
  <si>
    <t>Refer section SA 5</t>
  </si>
  <si>
    <t>Refer section MA 1</t>
  </si>
  <si>
    <t>Demonstrating the Major Material with Low Embodied Energy are Used in the Project Utilizing the LCA Result</t>
  </si>
  <si>
    <t>Refer section EU 3</t>
  </si>
  <si>
    <t>Refer section EU 10e</t>
  </si>
  <si>
    <t>A Combination of Rainwater and Grey Water</t>
  </si>
  <si>
    <t>Refer section WU 4c.</t>
  </si>
  <si>
    <t xml:space="preserve">Use of natural ventilation </t>
  </si>
  <si>
    <t>Refer section IEQ 12b.</t>
  </si>
  <si>
    <t xml:space="preserve">Provision of automatic control of artificial lighting such as daylight sensors at perimeter zone and/or occupancy sensor. </t>
  </si>
  <si>
    <t>Refer section IEQ 16.</t>
  </si>
  <si>
    <t xml:space="preserve">Demonstrating Impact Noise Isolation between Floors meets the prescribed Criteria.  </t>
  </si>
  <si>
    <t>Refer section IEQ 19.</t>
  </si>
  <si>
    <r>
      <t>INNOVATIVE TECHNIQUES</t>
    </r>
    <r>
      <rPr>
        <sz val="10"/>
        <color indexed="8"/>
        <rFont val="Arial"/>
        <family val="2"/>
      </rPr>
      <t xml:space="preserve"> </t>
    </r>
  </si>
  <si>
    <t>Bonus Credits</t>
  </si>
  <si>
    <t xml:space="preserve">PERFORMANCE ENHANCEMENTS </t>
  </si>
  <si>
    <t>Innovative and Addition Credits Sub-Total</t>
  </si>
  <si>
    <t xml:space="preserve"> </t>
    <phoneticPr fontId="30" type="noConversion"/>
  </si>
  <si>
    <t>s</t>
  </si>
  <si>
    <t>The following table summarizes the credits which are Not Applicable to this project:</t>
  </si>
  <si>
    <t>IA</t>
  </si>
  <si>
    <t>EXCLUSIONS: Building developments on Greenfield sites and the site contamination/landfill gas hazard assessment and mitigation measures are statutory requirements of the project.</t>
  </si>
  <si>
    <t>EXCLUSIONS: Residential and similar buildings not provided with central air-conditioning and ventilation systems.</t>
  </si>
  <si>
    <t>List</t>
  </si>
  <si>
    <t>1 credit for providing appropriate planting on site equivalent to at least 30% of the site area.
2 credits for providing appropriate planting on site equivalent to at least 40% of the site area.</t>
  </si>
  <si>
    <t>Remarks</t>
  </si>
  <si>
    <t>1 credit for the reuse of 30% or more of existing sub-structure or shell.
2 credits for the reuse of 60% or more of existing sub-structure or shell.</t>
  </si>
  <si>
    <t>1 credit when the manufacture of 20% of listed prefabricated building elements has been off-site.
2 credits where the manufacture of 40% of listed prefabricated building elements has been off-site.</t>
  </si>
  <si>
    <t>1 credit for demonstrating that at least 30% of construction waste is recycled.
2 credits for demonstration that at least 60% of construction waste is recycled.</t>
  </si>
  <si>
    <t>EXCLUSIONS: Project where demolition is not required or is not under the Client’s control.</t>
  </si>
  <si>
    <t>Excluding Bonus Credits</t>
  </si>
  <si>
    <t>1 credit for using lamps and, where applicable, ballasts that will consume less electricity than those meeting the zero-credit requirements by 20% or more.
2 credits where the consumption is reduced by 25% or more.</t>
  </si>
  <si>
    <t>1 credit when 60% of total rated power of appliances and equipment are certified energy efficient products.
2 credits when 80% of total rated power of appliances and equipment are certified energy efficient products.</t>
  </si>
  <si>
    <t>Insert Credit Commentary Here</t>
  </si>
  <si>
    <t>Categories</t>
  </si>
  <si>
    <t>Area (m2)</t>
  </si>
  <si>
    <t>EXCLUSIONS: Buildings not using window and/or split-type air-conditioners.</t>
  </si>
  <si>
    <r>
      <t>1 credit for demonstrating compliance with appropriate criteria for CO, NO</t>
    </r>
    <r>
      <rPr>
        <vertAlign val="subscript"/>
        <sz val="10"/>
        <color indexed="8"/>
        <rFont val="Arial"/>
        <family val="2"/>
      </rPr>
      <t>2</t>
    </r>
    <r>
      <rPr>
        <sz val="10"/>
        <color indexed="8"/>
        <rFont val="Arial"/>
        <family val="2"/>
      </rPr>
      <t xml:space="preserve"> and O</t>
    </r>
    <r>
      <rPr>
        <vertAlign val="subscript"/>
        <sz val="10"/>
        <color indexed="8"/>
        <rFont val="Arial"/>
        <family val="2"/>
      </rPr>
      <t>3</t>
    </r>
    <r>
      <rPr>
        <sz val="10"/>
        <color indexed="8"/>
        <rFont val="Arial"/>
        <family val="2"/>
      </rPr>
      <t>.
1 credit for demonstrating compliance with the appropriate criteria for RSP.</t>
    </r>
  </si>
  <si>
    <t>Insert No. of Credit(s) Here</t>
  </si>
  <si>
    <t>Peak Electricity Demand Reduction</t>
  </si>
  <si>
    <t>No. of NA</t>
  </si>
  <si>
    <t>Provision of Basic Services/Recreational Facilities</t>
  </si>
  <si>
    <t>1 credit for ventilation systems that will consume less electricity than those meeting the zero credit requirements (baseline) by 20% or more.
2 credits where the consumption is reduced by 25% or more.</t>
  </si>
  <si>
    <t>1 credit for providing suitable clothes drying facilities which utilise the natural environment for all residential units.</t>
  </si>
  <si>
    <t>Appendix A - Credit Summary</t>
  </si>
  <si>
    <t>Final Summary for Indoor Environmental Quality</t>
  </si>
  <si>
    <t>Final Summary for Energy Use</t>
  </si>
  <si>
    <t>Table for use in plotting the horizontal line in Fig 3., Fig 4., Fig 6. &amp; Fig 8.</t>
  </si>
  <si>
    <t>Table to calculate project rating</t>
  </si>
  <si>
    <t>(Excellent)</t>
  </si>
  <si>
    <t>(Very Good)</t>
  </si>
  <si>
    <t>(Good)</t>
  </si>
  <si>
    <t>(Average)</t>
  </si>
  <si>
    <t>Unclassified</t>
  </si>
  <si>
    <t>Cannot be Assessed</t>
  </si>
  <si>
    <t>Table to determine if all prerequisite have be met</t>
  </si>
  <si>
    <t>Prerequisite</t>
  </si>
  <si>
    <t>Compliance (Yes/No)</t>
  </si>
  <si>
    <t>All Prerequisite met ?</t>
  </si>
  <si>
    <t>Table to determine if minimum % achieved for the aspects</t>
  </si>
  <si>
    <t>Overall Scores</t>
  </si>
  <si>
    <t>IEQ 5</t>
  </si>
  <si>
    <t>No. of NA Credits</t>
  </si>
  <si>
    <t>No. of Contested</t>
  </si>
  <si>
    <t>No. of Contested Credits</t>
  </si>
  <si>
    <t xml:space="preserve"> Sub-Total Number of Applicable MA Credit</t>
  </si>
  <si>
    <t>Sub-Total Number of Applicable SA Credit</t>
  </si>
  <si>
    <t xml:space="preserve"> Number of Achieved SA Credit</t>
  </si>
  <si>
    <t>Number of Achieved IEQ Credit</t>
  </si>
  <si>
    <t>Sub-Total Number of Applicable IEQ Credit</t>
  </si>
  <si>
    <t>Total EU Credit</t>
  </si>
  <si>
    <t>Demonstrate compliance with the latest edition of Building Energy Codes (BEC).</t>
  </si>
  <si>
    <t>BEAM Plus New Buildings Version 1.2</t>
  </si>
  <si>
    <t>Minimum Landscaping Area</t>
  </si>
  <si>
    <t>EXCLUSIONS: Buildings or site not for residential use; or residential sites less than or equal to 1000m²</t>
  </si>
  <si>
    <t>It is required to demonstrate compliance with appropriate planting on site equivalent to at least 20% of the site area.</t>
  </si>
  <si>
    <t>1 credit where parking capacity does not exceed the minimum requirement from government and parking is provided for carpools or
shuttle service vehicles.
2 credits where no car parking is provided other than provisions intended for use by disabled persons and/or shuttle service vehicles.</t>
  </si>
  <si>
    <t>1 credit where at least 10 different basic services are located within 500m walking distance from the Site and pedestrian access to the services is available for the Site.</t>
  </si>
  <si>
    <t>1 credit where at least 2 different recreational facilities are located within 500m walking distance from the Site and pedestrian access to the facilities is available for the Site.</t>
  </si>
  <si>
    <t>1 credit for site design appraisal report demonstrating a proactive approach to achieve greater integration of site planning and design issues, and at least 50% of relevant sub-items of the Urban Design Guidelines in the Hong Kong Planning Standards and Guidelines are achieved.</t>
  </si>
  <si>
    <t>One Bonus credit from SA 5 Ecological Impact can be achieved through the following:
Having a site which scores less than 20% of the points in the Habitat Section of The Nature Conservation Policy - 2009[1] and having a site which scores less than 30% in the Biodiversity Section of The Nature Conservation Policy - 2009; or
Demonstrating that appropriate design measures have been implemented to contribute positively to the ecological value of the site.</t>
  </si>
  <si>
    <t>Cultural Heritage</t>
  </si>
  <si>
    <t>1 credit for using pervious materials for a minimum of 50% of hard landscaped areas.</t>
  </si>
  <si>
    <t>1 credit for demonstrating that no pedestrian areas will be subject to excessive wind velocities caused by amplification due to the site layout design and/or building design.</t>
  </si>
  <si>
    <t>1 credit for providing shade on at least 50% of non-roof impervious surfaces on the site (parking, walkways, plazas) using light coloured high-albedo materials (albedo of at least 0.4).
1 credit for providing roof material that meets the Solar Reflectance Index (SRI) of 78 or vegetation roof covering at least 50% of the total roof area.</t>
  </si>
  <si>
    <t>1 credit for conducting an AVA by wind tunnel or Computer Fluid Dynamics (CFD) according to the prevailing AVA methodology introduced by the Government demonstrating the optimal option is selected in comparing with different options.</t>
  </si>
  <si>
    <t>1 credit if an Environmental Management Plan including Environmental Monitoring and Auditing has been implemented.</t>
  </si>
  <si>
    <t>1 credit for applying adequate mitigation measures for dust and air emissions during the construction as recommended by the Environmental Protection Department, and demonstrating compliance with the air quality management guidelines as detailed in the Environmental Monitoring and Audit Manual.</t>
  </si>
  <si>
    <t>1 credit for demonstrating the level of the intruding noise at the facade of the potential noise sensitive receivers is in compliance with the criteria recommended in the Hong Kong Planning Standards and Guidelines.</t>
  </si>
  <si>
    <t>Using non-chlorofluorocarbon (CFC)-based refrigerants in HVAC&amp;R systems.</t>
  </si>
  <si>
    <t>Construction and Demolition Waste Management Plan</t>
  </si>
  <si>
    <t>Implementation with proof of documentation of a waste management system that provides for the sorting, recycling and proper disposal of construction/demolition materials.</t>
  </si>
  <si>
    <t>1 additional BONUS credit for use of 90% or more of existing sub-structure or shell.</t>
  </si>
  <si>
    <t>1 credit for demonstrating the application of modular and standardised design.</t>
  </si>
  <si>
    <t>1 credit for designs providing flexibility through the use of building structural systems that allow for change in future use, and which is coordinated with interior planning modules.</t>
  </si>
  <si>
    <t>1 credit for demonstrating 2.5% of all building materials/products used in the project are rapidly renewable materials.
2 credits where 5% of all building materials/products used in the project are rapidly renewable materials.</t>
  </si>
  <si>
    <t>1 credit for demonstrating at least 50% of all timber and composite timber products used in the project are from sustainable sources/recycled timber.</t>
  </si>
  <si>
    <t>Outside Surface Works and Structures</t>
  </si>
  <si>
    <t>1 credit for the use of recycled materials contributing to at least 10% of all materials used in site exterior surfacing work, structures and features.</t>
  </si>
  <si>
    <t>1 credit where at least 10% of all building materials used for interior non-structural components are recycled materials.</t>
  </si>
  <si>
    <t>Interior Components</t>
  </si>
  <si>
    <t>1 credit for the use of refrigerants with a value less than or equal to the threshold of the combined contribution to ozone depletion and global warming potentials using the specified equation.</t>
  </si>
  <si>
    <t>1 credit for the use of products in the building fabric and services that avoid using ozone depleting substances in their manufacture, composition or use.</t>
  </si>
  <si>
    <t>Regionally Manufactured Materials</t>
  </si>
  <si>
    <t>1 credit for the use of materials manufactured locally within 800 km from the site, which contribute at least 10% of all building materials used in the project.
2 credits for the use of materials manufactured locally within 800 km from the site, which contribute at least 20% of all building materials used in the project.</t>
  </si>
  <si>
    <t>1 credit for demonstrating that at least 30% of demolition waste is recycled.
2 credits for demonstrating that at least 60% of demolition waste is recycled.</t>
  </si>
  <si>
    <t>Alternative Route: Passive Design</t>
  </si>
  <si>
    <t>EU 1a</t>
  </si>
  <si>
    <t>Site Planning:
1 credit attained if the permeability of the site is in accordance with APP 152.
2 credits attained if the permeability of the site is 33% or more in both projection planes in accordance with APP 152.
Alternatively the second credit can be achieved by:
Carrying out a performance assessment to show an improvement in ventilation performance for the proposed case compared with a site with a permeability of 33%.
Building Orientation:
1 credit attained if the average solar irradiation of all facades is ≤ 80% of baseline solar irradiation value of 395 kWhr/m²/ apr-oct.</t>
  </si>
  <si>
    <t>EU 1b</t>
  </si>
  <si>
    <t>Building Envelope</t>
  </si>
  <si>
    <t>Prescriptive Approach:
1 credit if 28.0 W/m2 ≤ OTTV &lt; 30.0 W/m²
2 credits if 26.0 W/m2 ≤ OTTV &lt; 28.0 W/m²
3 credits if 24.0 W/m2 ≤ OTTV &lt; 26.0 W/m²
4 credits if 22.0 W/m2 ≤ OTTV &lt; 24.0 W/m²
5 credits if 20.0 W/m2 ≤ OTTV &lt; 22.0 W/m²</t>
  </si>
  <si>
    <t>EU 1c</t>
  </si>
  <si>
    <t>Natural Ventilation</t>
  </si>
  <si>
    <t>Prescriptive Approach:
1 credit if 20% of habitable areas meet the ventilation requirements.
2 credits if 40% of habitable areas meet the ventilation requirements.
3 credits if 60% of habitable areas meet the ventilation requirements.
4 credits if 80% of habitable areas meet the ventilation requirements.
5 credits if 100% of habitable areas meet the ventilation requirements.
Performance Approach:
1 credit if 20% of habitable areas satisfy the Area-Weighted Average Wind Velocity (AAWV) requirement.
2 credits if 40% of habitable areas satisfy the AAWV requirement.
3 credits if 60% of habitable areas satisfy the AAWV requirement.
4 credits if 80% of habitable areas satisfy the AAWV requirement.
5 credits if 100% of habitable areas satisfy the AAWV requirement.</t>
  </si>
  <si>
    <t>EU 1d</t>
  </si>
  <si>
    <t>Daylight</t>
  </si>
  <si>
    <t>1 credit if 80% of the habitable areas have glazing with a vertical daylight factor (VDF) 50% higher than the minimum requirement in APP 130.</t>
  </si>
  <si>
    <t>EU 1e</t>
  </si>
  <si>
    <t>Active Building Systems</t>
  </si>
  <si>
    <t>Three different categories fall under the section Active Building Systems,
HVAC systems in common areas:
1 credit for a 20% energy reduction compared to current BEC.
2 credits for a 25% energy reduction compared to current BEC.
Artificial lighting system in common areas:
1 credit for a 20% energy reduction compared to current BEC.
2 credits for a 25% energy reduction compared to current BEC.
3 credits for a 30% energy reduction compared to current BEC.
Vertical transportation in common areas:
1 credit for a 10% reduction from the maximum allowable electrical power rating.</t>
  </si>
  <si>
    <t>Six Credits</t>
  </si>
  <si>
    <t>Embodied Energy in Building Structural Elements</t>
  </si>
  <si>
    <t>1 credit for demonstrating the embodied energy in the major elements of the building structure of the assessed building has been studied through a Life Cycle Assessment (LCA).</t>
  </si>
  <si>
    <t>Ventilation System in Car Parks</t>
  </si>
  <si>
    <t>Lighting System in Car Parks</t>
  </si>
  <si>
    <t>1 credit where 0.5% or more of building energy consumption is obtained from renewable energy sources.
2 credits where 1% or more of building energy consumption is obtained from renewable energy sources.
3 credits where 1.5% or more of building energy consumption is obtained from renewable energy sources.
4 credits where 2% or more of building energy consumption is obtained from renewable energy sources.
5 credits where 2.5% or more of building energy consumption is obtained from renewable energy sources.
Alternatively
1 to 5 credits where the minimum percentage of 20% to 100% of the building footprint is being covered/used by PV panels respectively and/or other renewable power facility generation with equivalent renewable power output.</t>
  </si>
  <si>
    <t>1 credit for complying with the recommended installation positions for airconditioning units with regard to internal spaces; complying with the minimum width of any external recess with regard to heat rejection; and complying with the items listed in the assessment checklists.</t>
  </si>
  <si>
    <t>1 credit for provision of appropriate specifications and/or cost provisions in contract documents detailing the commissioning requirements for all systems and equipment that impact on energy use and indoor environmental quality.</t>
  </si>
  <si>
    <t>1 BONUS credit for engagement of an independent commissioning authority in the Testing and Commissioning process.</t>
  </si>
  <si>
    <t>Operation and Maintenance</t>
  </si>
  <si>
    <t>1 credit for providing fully documented instructions that enable systems to operate at a high level of energy efficiency.</t>
  </si>
  <si>
    <t>1 credit for providing training for operations and maintenance staff to the minimum specified; and demonstrating that adequate maintenance facilities are provided for operations and maintenance work.</t>
  </si>
  <si>
    <t>1 credit for installation of:
metering that allows monitoring of electricity use by the main chiller plant and auxiliaries;
instruments for monitoring building cooling load and operating parameters of the central chiller plant;
metering that allows separate monitoring of electricity use by the air side of the HVAC system; and
metering for landlord’s electricity consumption in common space/public areas.</t>
  </si>
  <si>
    <t>For residential developments:</t>
  </si>
  <si>
    <t>For all building types excluding residential:</t>
  </si>
  <si>
    <t>1 credit for demonstrating the fulfilment of at least 3 items out of the following strategies.
2 credits for demonstrating the fulfilment of all of the following strategies.
a) To demonstrate compliance, energy simulation must be provided to show that the average solar irradiance of all facades is lower than 395 kWhr/m²/ apr-oct;
b) Compliance is demonstrated by showing that a site permeability of 20% can be achieved between assessed building and nearby buildings/obstructions;
c) Demonstrate that 20% of the habitable space can utilise natural ventilation either by the prescriptive approach or the performance approach;
d) Demonstrate that the OTTV of habitable spaces is less than or equal to 30 W/m²; and
e) Demonstrate that the VDF of habitable spaces are 50% more than the baseline requirements.</t>
  </si>
  <si>
    <t>1 credit for demonstrating the fulfilment of at least 3 items out of the following strategies.
2 credits for demonstrating the fulfilment of all of the following strategies.
a) Consideration of built form and building orientation to enhance energy conservation;
b) Consideration of optimum spatial planning to enhance energy conservation;
c) Consideration of building permeability provisions of building features to enhance the use of natural ventilation;
d) Provision of fixed or movable horizontal/vertical external shading devices; and
e) Provision of movable external shading devices for major atrium facade windows or skylights.</t>
  </si>
  <si>
    <t>Demonstrating that the quality of potable water meets the referenced drinking water quality standards at all points of use.</t>
  </si>
  <si>
    <t>Demonstrate that the use of water efficient devices leads to an estimated
aggregate annual saving of 10%.</t>
  </si>
  <si>
    <t>1 credit for demonstrating that the use of water efficient devices leads to an estimated aggregate annual saving of 20%.
2 credits for demonstrating an estimated annual saving of 25%.
3 credits for demonstrating an estimated annual saving of 30%.</t>
  </si>
  <si>
    <t>1 credit for installation of devices to monitor water leakage from the fresh water distribution systems without embedded plumbing pipework.</t>
  </si>
  <si>
    <t>1 credit for the use of an irrigation system which does not require the use of municipal fresh water after a period of establishment is complete.
Alternately,
1 credit for demonstrating highly efficient irrigation technology and/or the use of harvested rainwater and/or recycled grey water to reduce fresh water consumption for irrigation by 50% or more in comparison with conventional irrigation of water intensive planting.</t>
  </si>
  <si>
    <t>1 credit for harvesting of rainwater which will lead to a reduction of 5% or more in the consumption of fresh water.</t>
  </si>
  <si>
    <t>1 credit where recycled grey water will lead to a reduction of 5% or more in the consumption of fresh water.</t>
  </si>
  <si>
    <t>1 BONUS credit where harvesting and/or recycling leads to a reduction of 10% or more in the consumption of fresh water.</t>
  </si>
  <si>
    <t>1 credit for installing water efficient appliances that have Water Efficiency Labelling Scheme Grade 2 or above.</t>
  </si>
  <si>
    <t>Plumbing and Drainage</t>
  </si>
  <si>
    <t>1 credit for designs that reduce the potential for transmission of harmful bacteria viruses and odours.</t>
  </si>
  <si>
    <t>1 credit for complying with the recommendations given in the Code of Practice - Prevention of Legionnaires Disease, in respect of airconditioning and ventilation systems, and water systems.</t>
  </si>
  <si>
    <t>1 credit for the provision of a de-odourising system in all refuse collection rooms and chambers.</t>
  </si>
  <si>
    <t>1 credit for undertaking a building ‘flush out’ or ‘bake out’; and replacement of all filters prior to occupancy.</t>
  </si>
  <si>
    <t>1 credit for demonstrating compliance with the appropriate criteria for VOCs.
1 credit for demonstrating compliance with the appropriate criteria for HCHO.
1 credit for demonstrating compliance with the appropriate criteria for Rn.</t>
  </si>
  <si>
    <t>1 credit where it can be demonstrated that adequate ventilation can be achieved by natural means.</t>
  </si>
  <si>
    <t>Thermal Comfort In Air-Conditioned Premises</t>
  </si>
  <si>
    <t>1 credit for sustaining the air temperature at the design value within ±1.5°C when the air side system is operating at steady state under normal occupied periods.</t>
  </si>
  <si>
    <t>1 credit where room air diffusers satisfy the Air Diffusion Performance Index.</t>
  </si>
  <si>
    <t>Room Air Distribution</t>
  </si>
  <si>
    <t>Use of Natural Ventilation</t>
  </si>
  <si>
    <t>1 credit for demonstrating indoor operative temperatures in occupied/habitable rooms meet the 80% acceptability limits.
Alternatively,
1 credit for demonstrating the predicted Mean Vote (PMV) in occupied/habitable rooms is between –1 and +1.
Alternatively,
1 credit for demonstrating that, the thermal performance, and the internal wind speeds, of the occupied/habitable rooms fall within the 80% acceptability range for the tropical climate conditions of Hong Kong.</t>
  </si>
  <si>
    <t>1 credit for sustaining the air temperature at the design value within ±1.5°C when the air-conditioning unit is operating at steady state under normal occupied periods.</t>
  </si>
  <si>
    <t>1 credit where at least 80% of the floor area in all normally occupied spaces is adequately lit with an average daylight factor of 1%.
2 credits where at least 95% of the floor area in all normally occupied spaces is adequately lit with an average daylight factor of 1%.</t>
  </si>
  <si>
    <t>1 credit where the prescribed lighting performance in each type of premises in respect of illuminance and lighting quality is achieved.
It is required to fulfill the following:
(i) prescribed lighting performance in respect of maintained illuminance and illuminance variation; and
(ii) the limiting unified glare rating is achieved and light sources have an appropriate colour rendering index.</t>
  </si>
  <si>
    <t>1 BONUS credit for providing automatic control of artificial lighting such as daylight sensors at perimeter zones and/or occupancy sensors.</t>
  </si>
  <si>
    <t>1 credit for demonstrating that internal noise levels are within the prescribed criteria and the mid-frequency reverberation time in applicable rooms meets the prescribed criteria for give types of premises.</t>
  </si>
  <si>
    <t>1 credit for demonstrating airborne and impact noise isolation between rooms, spaces and premises meets the prescribed criteria.</t>
  </si>
  <si>
    <t>For residential developments only,
1 BONUS credit for demonstrating impact noise isolation between floors meets the prescribed criteria.</t>
  </si>
  <si>
    <t>1 credit for demonstrating vibration levels do not exceed the prescribed criteria.</t>
  </si>
  <si>
    <t>Indoor Vibration</t>
  </si>
  <si>
    <t>1 credit for providing at least 3 enhanced provisions</t>
  </si>
  <si>
    <t>1 credit for providing at least 3 amenity features that enhance the quality and functionality of a building to the benefit of building users.</t>
  </si>
  <si>
    <t>1 credit for providing at least 3 amenity features that allow for improved operation and maintenance of the building and its engineering services.</t>
  </si>
  <si>
    <t>This sections applies to advanced practices and new techniques that have not hitherto found application in Hong Kong or even elsewhere. Any credits gained are regarded as bonus credits, towards the total number of credits obtained, but not towards the total credits obtainable.</t>
  </si>
  <si>
    <t>Bonus credits in this section are available for strategies and techniques that greatly exceed the requirements of existing BEAM credits. Any credits gained are designated towards the total number of credits obtained, but not towards the total credits obtainable.</t>
  </si>
  <si>
    <t>At least 1 key member of the Project Team shall be a certified BEAM Professional.</t>
  </si>
  <si>
    <t>Reminder: Please use "Potable Water" as the appropriate term for WU P1, WU P2 and WU 1.</t>
  </si>
  <si>
    <t>2.2 The following table summary indicates credits where the Assessor has disagreed with the Applicant’s claim and due to its straight forward nature, it will not be discussed:</t>
  </si>
  <si>
    <t>2.1 The following table summary indicates credits where the Assessor has disagreed with the Applicant’s claim and will be discussed in TRC meeting:</t>
  </si>
  <si>
    <t>Result</t>
  </si>
  <si>
    <t>v1.4.5</t>
  </si>
  <si>
    <t>Neighbourhood Amenities</t>
  </si>
  <si>
    <t>Air Pollution During Construction</t>
  </si>
  <si>
    <t>Noise During Construction</t>
  </si>
  <si>
    <t>Water Pollution During Construction</t>
  </si>
  <si>
    <t>Adaptability and Deconstruction</t>
  </si>
  <si>
    <t>Site Planning/Building Orientation</t>
  </si>
  <si>
    <t>Air-Conditioning Units</t>
  </si>
  <si>
    <t>PROVISIONS FOR ENERGY MANAGEMENT</t>
  </si>
  <si>
    <t>Commissioning Report</t>
  </si>
  <si>
    <t xml:space="preserve">Filter Replacement and Flush-Out </t>
  </si>
  <si>
    <t>Localised Ventilation</t>
  </si>
  <si>
    <t>Source Control</t>
  </si>
  <si>
    <t>Local Exhaust</t>
  </si>
  <si>
    <t>Ventilation By Any Means</t>
  </si>
  <si>
    <t>Performance with Air-Conditioning</t>
  </si>
  <si>
    <t>Access for Persons with Disability</t>
  </si>
  <si>
    <t>Amenities for the Benefit of Building Users</t>
  </si>
  <si>
    <t>Amenities for Improved Operation and Maintenance</t>
  </si>
  <si>
    <t>Target Rating:</t>
  </si>
  <si>
    <t>Innovations and Additions</t>
  </si>
  <si>
    <t>Reminder: Please use "Potable Water" as the appropriate term for WU P1, WU P2 and WU 1. Please list out the flow rate of each water fixture.</t>
  </si>
  <si>
    <t>Reminder: Please use "annual sewage volumes" as the appropriate term. Please list out the flow rate of each water fixture.</t>
  </si>
  <si>
    <t>EXCLUSIONS: Emergency Service Premises (e.g. fire station, power substation, etc.)
Reminder: Please list out the proposed basic services and recreational facilities in the comment. Please state if double count occurred in SA 3a.</t>
  </si>
  <si>
    <t>NB v1.2_20200504</t>
  </si>
  <si>
    <t>2123-123XX(x)</t>
  </si>
  <si>
    <t>ABC Residential Development</t>
  </si>
  <si>
    <t xml:space="preserve">Name: </t>
  </si>
  <si>
    <t xml:space="preserve">BAS can write down the uncertainties during their assessment process which can be discussed in the TRC meeting. Supporting information e.g. drawing, specification floor plan, etc should be provided.
</t>
    <phoneticPr fontId="31" type="noConversion"/>
  </si>
  <si>
    <t>Estimated Annual Energy Consumption for COMMERCIAL AND HOTEL Buildings [BEC 2012/ BEC 2012 (Rev.1)]</t>
  </si>
  <si>
    <t>1 credit for a reduction in the annual energy consumption by 3 %
2 credits for a reduction in the annual energy consumption by 5 %
3 credits for a reduction in the annual energy consumption by 7 %
4 credits for a reduction in the annual energy consumption by 9 %
5 credits for a reduction in the annual energy consumption by 11 %
6 credits for a reduction in the annual energy consumption by 14 %
7 credits for a reduction in the annual energy consumption by 17 %
8 credits for a reduction in the annual energy consumption by 20 %
9 credits for a reduction in the annual energy consumption by 23 %
10 credits for a reduction in the annual energy consumption by 26 %
11 credits for a reduction in the annual energy consumption by 29 %
12 credits for a reduction in the annual energy consumption by 33 %
13 credits for a reduction in the annual energy consumption by 37 %
14 credits for a reduction in the annual energy consumption by 41 %
15 credits for a reduction in the annual energy consumption by 45 %</t>
  </si>
  <si>
    <t>Estimated Maximum Electricity Demand for COMMERCIAL AND HOTEL Buildings [BEC 2012/ BEC 2012 (Rev.1)]</t>
  </si>
  <si>
    <t>Estimated Annual Energy Consumption for EDUCATIONAL Buildings [BEC 2012/ BEC 2012 (Rev.1)]</t>
  </si>
  <si>
    <t>1 credit for a reduction in the annual energy consumption by 3 %
2 credits for a reduction in the annual energy consumption by 4 %
3 credits for a reduction in the annual energy consumption by 5 %
4 credits for a reduction in the annual energy consumption by 6 %
5 credits for a reduction in the annual energy consumption by 7 %
6 credits for a reduction in the annual energy consumption by 9 %
7 credits for a reduction in the annual energy consumption by 11 %
8 credits for a reduction in the annual energy consumption by 13 %
9 credits for a reduction in the annual energy consumption by 15 %
10 credits for a reduction in the annual energy consumption by 17 %
11 credits for a reduction in the annual energy consumption by 19 %
12 credits for a reduction in the annual energy consumption by 21 %
13 credits for a reduction in the annual energy consumption by 24 %
14 credits for a reduction in the annual energy consumption by 27 %
15 credits for a reduction in the annual energy consumption by 30 %</t>
  </si>
  <si>
    <t>Estimated Maximum Electricity Demand for EDUCATIONAL AND RESIDENTIAL Buildings [BEC 2012/ BEC 2012 (Rev.1)]</t>
  </si>
  <si>
    <t>Estimated Annual Energy Consumption for RESIDENTIAL Buildings [BEC 2012/ BEC 2012 (Rev.1)]</t>
  </si>
  <si>
    <t>1 credit for a reduction in the annual energy consumption by 3 %
2 credits for a reduction in the annual energy consumption by 4 %
3 credits for a reduction in the annual energy consumption by 5 %
4 credits for a reduction in the annual energy consumption by 6 %
5 credits for a reduction in the annual energy consumption by 7 %
6 credits for a reduction in the annual energy consumption by 8 %
7 credits for a reduction in the annual energy consumption by 9 %
8 credits for a reduction in the annual energy consumption by 10 %
9 credits for a reduction in the annual energy consumption by 11 %
10 credits for a reduction in the annual energy consumption by 12 %
11 credits for a reduction in the annual energy consumption by 13 %
12 credits for a reduction in the annual energy consumption by 14 %
13 credits for a reduction in the annual energy consumption by 16 %
14 credits for a reduction in the annual energy consumption by 18 %
15 credits for a reduction in the annual energy consumption by 20 %</t>
  </si>
  <si>
    <t>Estimated Annual Energy Consumption for OTHER Building Types [BEC 2012/ BEC 2012 (Rev.1)]</t>
  </si>
  <si>
    <t>1 credit for a reduction in the annual energy consumption by 1 %
2 credits for a reduction in the annual energy consumption by 2 %
3 credits for a reduction in the annual energy consumption by 3 %
4 credits for a reduction in the annual energy consumption by 4 %
5 credits for a reduction in the annual energy consumption by 5 %
6 credits for a reduction in the annual energy consumption by 6 %
7 credits for a reduction in the annual energy consumption by 7 %
8 credits for a reduction in the annual energy consumption by 8 %
9 credits for a reduction in the annual energy consumption by 9 %
10 credits for a reduction in the annual energy consumption by 10 %
11 credits for a reduction in the annual energy consumption by 12 %
12 credits for a reduction in the annual energy consumption by 14 %
13 credits for a reduction in the annual energy consumption by 16 %
14 credits for a reduction in the annual energy consumption by 18 %
15 credits for a reduction in the annual energy consumption by 20 %</t>
  </si>
  <si>
    <t>Estimated Maximum Electricity Demand for OTHER Building Types [BEC 2012/ BEC 2012 (Rev.1)]</t>
  </si>
  <si>
    <t>Estimated Annual Energy Consumption for COMMERCIAL AND HOTEL Buildings [BEC 2015]</t>
  </si>
  <si>
    <t>3 credits for a reduction in the annual energy consumption by 1 %
4 credits for a reduction in the annual energy consumption by 3 %
5 credits for a reduction in the annual energy consumption by 5 %
6 credits for a reduction in the annual energy consumption by 8 %
7 credits for a reduction in the annual energy consumption by 11 %
8 credits for a reduction in the annual energy consumption by 14 %
9 credits for a reduction in the annual energy consumption by 17 %
10 credits for a reduction in the annual energy consumption by 20 %
11 credits for a reduction in the annual energy consumption by 23 %
12 credits for a reduction in the annual energy consumption by 27 %
13 credits for a reduction in the annual energy consumption by 31 %
14 credits for a reduction in the annual energy consumption by 35 %
15 credits for a reduction in the annual energy consumption by 39 %</t>
  </si>
  <si>
    <t>Estimated Maximum Electricity Demand for COMMERCIAL AND HOTEL Buildings [BEC 2015]</t>
  </si>
  <si>
    <t>Estimated Annual Energy Consumption for EDUCATIONAL Buildings [BEC 2015]</t>
  </si>
  <si>
    <t>4 credits for a reduction in the annual energy consumption by 1 %
5 credits for a reduction in the annual energy consumption by 2 %
6 credits for a reduction in the annual energy consumption by 4 %
7 credits for a reduction in the annual energy consumption by 6 %
8 credits for a reduction in the annual energy consumption by 8 %
9 credits for a reduction in the annual energy consumption by 10 %
10 credits for a reduction in the annual energy consumption by 12 %
11 credits for a reduction in the annual energy consumption by 14 %
12 credits for a reduction in the annual energy consumption by 16 %
13 credits for a reduction in the annual energy consumption by 19 %
14 credits for a reduction in the annual energy consumption by 22 %
15 credits for a reduction in the annual energy consumption by 25 %</t>
  </si>
  <si>
    <t>Estimated Maximum Electricity Demand for EDUCATIONAL AND RESIDENTIAL Buildings [BEC 2015]</t>
  </si>
  <si>
    <t>Estimated Annual Energy Consumption for RESIDENTIAL Buildings [BEC 2015]</t>
  </si>
  <si>
    <t>1 credit for a reduction in the annual energy consumption by 2 %
2 credits for a reduction in the annual energy consumption by 3 %
3 credits for a reduction in the annual energy consumption by 4 %
4 credits for a reduction in the annual energy consumption by 5 %
5 credits for a reduction in the annual energy consumption by 6 %
6 credits for a reduction in the annual energy consumption by 7 %
7 credits for a reduction in the annual energy consumption by 8 %
8 credits for a reduction in the annual energy consumption by 9 %
9 credits for a reduction in the annual energy consumption by 10 %
10 credits for a reduction in the annual energy consumption by 11 %
11 credits for a reduction in the annual energy consumption by 12 %
12 credits for a reduction in the annual energy consumption by 13 %
13 credits for a reduction in the annual energy consumption by 15 %
14 credits for a reduction in the annual energy consumption by 17 %
15 credits for a reduction in the annual energy consumption by 19 %</t>
  </si>
  <si>
    <t>Estimated Annual Energy Consumption for OTHER Building Types [BEC 2015]</t>
  </si>
  <si>
    <t>2 credits for a reduction in the annual energy consumption by 1 %
3 credits for a reduction in the annual energy consumption by 2 %
4 credits for a reduction in the annual energy consumption by 3 %
5 credits for a reduction in the annual energy consumption by 4 %
6 credits for a reduction in the annual energy consumption by 5 %
7 credits for a reduction in the annual energy consumption by 6 %
8 credits for a reduction in the annual energy consumption by 7 %
9 credits for a reduction in the annual energy consumption by 8 %
10 credits for a reduction in the annual energy consumption by 9 %
11 credits for a reduction in the annual energy consumption by 11 %
12 credits for a reduction in the annual energy consumption by 13 %
13 credits for a reduction in the annual energy consumption by 15 %
14 credits for a reduction in the annual energy consumption by 17 %
15 credits for a reduction in the annual energy consumption by 19 %</t>
  </si>
  <si>
    <t>Estimated Maximum Electricity Demand for OTHER Building Types  [BEC 2015]</t>
  </si>
  <si>
    <t>Estimated Annual Energy Consumption for COMMERCIAL AND HOTEL Buildings [BEC 2018]</t>
  </si>
  <si>
    <t>3 credits for a reduction in the annual energy consumption by 1 %
4 credits for a reduction in the annual energy consumption by 3 %
5 credits for a reduction in the annual energy consumption by 5 %
6 credits for a reduction in the annual energy consumption by 7 %
7 credits for a reduction in the annual energy consumption by 9 %
8 credits for a reduction in the annual energy consumption by 11 %
9 credits for a reduction in the annual energy consumption by 13 %
10 credits for a reduction in the annual energy consumption by 16 %
11 credits for a reduction in the annual energy consumption by 19 %
12 credits for a reduction in the annual energy consumption by 22 %
13 credits for a reduction in the annual energy consumption by 25%
14 credits for a reduction in the annual energy consumption by 28 %
15 credits for a reduction in the annual energy consumption by 32 %</t>
  </si>
  <si>
    <t>Estimated Maximum Electricity Demand for COMMERCIAL AND HOTEL Buildings [BEC 2018]</t>
  </si>
  <si>
    <t>Estimated Annual Energy Consumption for EDUCATIONAL Buildings [BEC 2018]</t>
  </si>
  <si>
    <t>Estimated Maximum Electricity Demand for EDUCATIONAL AND RESIDENTIAL Buildings [BEC 2018]</t>
  </si>
  <si>
    <t>Estimated Annual Energy Consumption for RESIDENTIAL Buildings [BEC 2018]</t>
  </si>
  <si>
    <t>1 credit for a reduction in the annual energy consumption by 2 %
2 credits for a reduction in the annual energy consumption by 3 %
3 credits for a reduction in the annual energy consumption by 4 %
4 credits for a reduction in the annual energy consumption by 5 %
5 credits for a reduction in the annual energy consumption by 6 %
6 credits for a reduction in the annual energy consumption by 7 %
7 credits for a reduction in the annual energy consumption by 8 %
8 credits for a reduction in the annual energy consumption by 9 %
9 credits for a reduction in the annual energy consumption by 10 %
10 credits for a reduction in the annual energy consumption by 11 %
11 credits for a reduction in the annual energy consumption by 13 %
12 credits for a reduction in the annual energy consumption by 14 %
13 credits for a reduction in the annual energy consumption by 16 %
14 credits for a reduction in the annual energy consumption by 18 %
15 credits for a reduction in the annual energy consumption by 20 %</t>
  </si>
  <si>
    <t>Estimated Annual Energy Consumption for OTHER Building Types [BEC 2018]</t>
  </si>
  <si>
    <t>Estimated Maximum Electricity Demand for OTHER Building Types [BEC 2018]</t>
  </si>
  <si>
    <t>1 credit for a reduction in the maximum electricity demand by 15 %
2 credits for a reduction in the maximum electricity demand by 23 %
3 credits for a reduction in the maximum electricity demand by 30 %</t>
  </si>
  <si>
    <t>1 credit for a reduction in the maximum electricity demand by 8 %
2 credits for a reduction in the maximum electricity demand by 12 %
3 credits for a reduction in the maximum electricity demand by 15 %</t>
  </si>
  <si>
    <t>1 credit for a reduction in the maximum electricity demand by 11 %
2 credits for a reduction in the maximum electricity demand by 19 %
3 credits for a reduction in the maximum electricity demand by 26 %</t>
  </si>
  <si>
    <t>1 credit for a reduction in the maximum electricity demand by 2 %
2 credits for a reduction in the maximum electricity demand by 6 %
3 credits for a reduction in the maximum electricity demand by 9 %</t>
  </si>
  <si>
    <t>1 credit for a reduction in the maximum electricity demand by 7 %
2 credits for a reduction in the maximum electricity demand by 11 %
3 credits for a reduction in the maximum electricity demand by 14 %</t>
  </si>
  <si>
    <t>1 credit for a reduction in the maximum electricity demand by 10 %
2 credits for a reduction in the maximum electricity demand by 19 %
3 credits for a reduction in the maximum electricity demand by 26 %</t>
  </si>
  <si>
    <t>1 credit for a reduction in the maximum electricity demand by 5 %
2 credits for a reduction in the maximum electricity demand by 9 %
3 credits for a reduction in the maximum electricity demand by 12 %</t>
  </si>
  <si>
    <t>Owner:</t>
  </si>
  <si>
    <t>PTRC</t>
  </si>
  <si>
    <t>Day Used:</t>
  </si>
  <si>
    <t>Estimated Annual Energy Consumption for COMMERCIAL AND HOTEL Buildings [BEC 2021]</t>
  </si>
  <si>
    <t>3 credits for a reduction in the annual energy consumption by 1 %
4 credits for a reduction in the annual energy consumption by 3 %
5 credits for a reduction in the annual energy consumption by 5 %
6 credits for a reduction in the annual energy consumption by 7 %
7 credits for a reduction in the annual energy consumption by 9 %
8 credits for a reduction in the annual energy consumption by 11 %
9 credits for a reduction in the annual energy consumption by 13 %
10 credits for a reduction in the annual energy consumption by 15 %
11 credits for a reduction in the annual energy consumption by 18 %
12 credits for a reduction in the annual energy consumption by 21 %
13 credits for a reduction in the annual energy consumption by 24%
14 credits for a reduction in the annual energy consumption by 27 %
15 credits for a reduction in the annual energy consumption by 30 %</t>
  </si>
  <si>
    <t>Estimated Maximum Electricity Demand for COMMERCIAL AND HOTEL Buildings [BEC 2021]</t>
  </si>
  <si>
    <t>Estimated Annual Energy Consumption for EDUCATIONAL Buildings [BEC 2021]</t>
  </si>
  <si>
    <t>4 credits for a reduction in the annual energy consumption by 1 %
5 credits for a reduction in the annual energy consumption by 2 %
6 credits for a reduction in the annual energy consumption by 4 %
7 credits for a reduction in the annual energy consumption by 6 %
8 credits for a reduction in the annual energy consumption by 7 %
9 credits for a reduction in the annual energy consumption by 8 %
10 credits for a reduction in the annual energy consumption by 10 %
11 credits for a reduction in the annual energy consumption by 12 %
12 credits for a reduction in the annual energy consumption by 14 %
13 credits for a reduction in the annual energy consumption by 17 %
14 credits for a reduction in the annual energy consumption by 21 %
15 credits for a reduction in the annual energy consumption by 24 %</t>
  </si>
  <si>
    <t>Estimated Maximum Electricity Demand for EDUCATIONAL AND RESIDENTIAL Buildings [BEC 2021]</t>
  </si>
  <si>
    <t>Estimated Annual Energy Consumption for RESIDENTIAL Buildings [BEC 2021]</t>
  </si>
  <si>
    <t>1 credit for a reduction in the annual energy consumption by 1 %
2 credits for a reduction in the annual energy consumption by 2 %
3 credits for a reduction in the annual energy consumption by 3 %
4 credits for a reduction in the annual energy consumption by 4 %
5 credits for a reduction in the annual energy consumption by 5 %
6 credits for a reduction in the annual energy consumption by 6 %
7 credits for a reduction in the annual energy consumption by 7 %
8 credits for a reduction in the annual energy consumption by 8 %
9 credits for a reduction in the annual energy consumption by 9 %
10 credits for a reduction in the annual energy consumption by 10 %
11 credits for a reduction in the annual energy consumption by 11 %
12 credits for a reduction in the annual energy consumption by 13 %
13 credits for a reduction in the annual energy consumption by 15 %
14 credits for a reduction in the annual energy consumption by 17 %
15 credits for a reduction in the annual energy consumption by 19 %</t>
  </si>
  <si>
    <t>Estimated Annual Energy Consumption for OTHER Building Types [BEC 2021]</t>
  </si>
  <si>
    <t>Estimated Maximum Electricity Demand for OTHER Building Types [BEC 2021]</t>
  </si>
  <si>
    <t>1 credit for a reduction in the maximum electricity demand by 10 %
2 credits for a reduction in the maximum electricity demand by 18 %
3 credits for a reduction in the maximum electricity demand by 25 %</t>
  </si>
  <si>
    <t>Demonstrate that the project is in compliance with the minimum requirements of ASHRAE 62.1-2007 in respect of Outdoor Air Quality; and Minimum Ventilation Rate.</t>
  </si>
  <si>
    <t>1 credit for demonstrating an outdoor ventilation rate that exceeds ASHRAE 62.1:2007 requirements by at least 30%.</t>
  </si>
  <si>
    <t>xx working days used as of xx</t>
  </si>
  <si>
    <t>Credit(s) Attempted</t>
  </si>
  <si>
    <t>NB v1.2_20241025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</si>
</sst>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quot;m2&quot;"/>
    <numFmt numFmtId="165" formatCode="0.0"/>
    <numFmt numFmtId="166" formatCode="0.0_ "/>
    <numFmt numFmtId="167" formatCode="0_);[Red]\(0\)"/>
    <numFmt numFmtId="168" formatCode="0.0_);[Red]\(0.0\)"/>
    <numFmt numFmtId="169" formatCode="0.00_ "/>
  </numFmts>
  <fonts count="67">
    <font>
      <sz val="10"/>
      <name val="Arial"/>
      <family val="2"/>
    </font>
    <font>
      <sz val="10"/>
      <name val="Arial"/>
      <family val="2"/>
    </font>
    <font>
      <sz val="12"/>
      <color indexed="8"/>
      <name val="新細明體"/>
      <family val="1"/>
      <charset val="136"/>
    </font>
    <font>
      <sz val="12"/>
      <color indexed="9"/>
      <name val="新細明體"/>
      <family val="1"/>
      <charset val="136"/>
    </font>
    <font>
      <sz val="10"/>
      <name val="Arial"/>
      <family val="2"/>
    </font>
    <font>
      <sz val="12"/>
      <color indexed="60"/>
      <name val="新細明體"/>
      <family val="1"/>
      <charset val="136"/>
    </font>
    <font>
      <b/>
      <sz val="12"/>
      <color indexed="8"/>
      <name val="新細明體"/>
      <family val="1"/>
      <charset val="136"/>
    </font>
    <font>
      <sz val="12"/>
      <color indexed="17"/>
      <name val="新細明體"/>
      <family val="1"/>
      <charset val="136"/>
    </font>
    <font>
      <b/>
      <sz val="12"/>
      <color indexed="52"/>
      <name val="新細明體"/>
      <family val="1"/>
      <charset val="136"/>
    </font>
    <font>
      <sz val="12"/>
      <color indexed="52"/>
      <name val="新細明體"/>
      <family val="1"/>
      <charset val="136"/>
    </font>
    <font>
      <i/>
      <sz val="12"/>
      <color indexed="23"/>
      <name val="新細明體"/>
      <family val="1"/>
      <charset val="136"/>
    </font>
    <font>
      <b/>
      <sz val="18"/>
      <color indexed="56"/>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20"/>
      <name val="新細明體"/>
      <family val="1"/>
      <charset val="136"/>
    </font>
    <font>
      <sz val="12"/>
      <color indexed="10"/>
      <name val="新細明體"/>
      <family val="1"/>
      <charset val="136"/>
    </font>
    <font>
      <b/>
      <sz val="11"/>
      <name val="Arial"/>
      <family val="2"/>
    </font>
    <font>
      <sz val="11"/>
      <name val="Arial"/>
      <family val="2"/>
    </font>
    <font>
      <sz val="8"/>
      <name val="Arial"/>
      <family val="2"/>
    </font>
    <font>
      <sz val="12"/>
      <name val="Arial"/>
      <family val="2"/>
    </font>
    <font>
      <sz val="9"/>
      <name val="新細明體"/>
      <family val="1"/>
      <charset val="136"/>
    </font>
    <font>
      <b/>
      <i/>
      <sz val="18"/>
      <name val="Arial"/>
      <family val="2"/>
    </font>
    <font>
      <b/>
      <i/>
      <sz val="18"/>
      <color indexed="57"/>
      <name val="Arial"/>
      <family val="2"/>
    </font>
    <font>
      <b/>
      <sz val="10"/>
      <name val="Arial"/>
      <family val="2"/>
    </font>
    <font>
      <sz val="10"/>
      <color indexed="8"/>
      <name val="Arial"/>
      <family val="2"/>
    </font>
    <font>
      <b/>
      <sz val="10"/>
      <color indexed="8"/>
      <name val="Arial"/>
      <family val="2"/>
    </font>
    <font>
      <i/>
      <sz val="10"/>
      <name val="Arial"/>
      <family val="2"/>
    </font>
    <font>
      <sz val="9"/>
      <name val="細明體"/>
      <family val="3"/>
      <charset val="136"/>
    </font>
    <font>
      <b/>
      <vertAlign val="subscript"/>
      <sz val="10"/>
      <color indexed="8"/>
      <name val="Arial"/>
      <family val="2"/>
    </font>
    <font>
      <vertAlign val="subscript"/>
      <sz val="10"/>
      <color indexed="8"/>
      <name val="Arial"/>
      <family val="2"/>
    </font>
    <font>
      <b/>
      <sz val="9"/>
      <name val="Arial"/>
      <family val="2"/>
    </font>
    <font>
      <sz val="9"/>
      <name val="Arial"/>
      <family val="2"/>
    </font>
    <font>
      <b/>
      <sz val="11"/>
      <name val="Calibri"/>
      <family val="2"/>
    </font>
    <font>
      <sz val="11"/>
      <name val="Calibri"/>
      <family val="2"/>
    </font>
    <font>
      <b/>
      <sz val="10"/>
      <color indexed="63"/>
      <name val="Arial"/>
      <family val="2"/>
    </font>
    <font>
      <sz val="10"/>
      <color indexed="63"/>
      <name val="Arial"/>
      <family val="2"/>
    </font>
    <font>
      <b/>
      <sz val="7"/>
      <color indexed="63"/>
      <name val="Times New Roman"/>
      <family val="1"/>
    </font>
    <font>
      <b/>
      <sz val="14"/>
      <name val="Calibri"/>
      <family val="2"/>
    </font>
    <font>
      <sz val="14"/>
      <name val="Calibri"/>
      <family val="2"/>
    </font>
    <font>
      <b/>
      <sz val="7"/>
      <color indexed="63"/>
      <name val="Arial"/>
      <family val="2"/>
    </font>
    <font>
      <b/>
      <sz val="11"/>
      <color indexed="9"/>
      <name val="Arial"/>
      <family val="2"/>
    </font>
    <font>
      <i/>
      <sz val="10"/>
      <color indexed="8"/>
      <name val="Arial"/>
      <family val="2"/>
    </font>
    <font>
      <b/>
      <i/>
      <sz val="10"/>
      <name val="Arial"/>
      <family val="2"/>
    </font>
    <font>
      <b/>
      <sz val="8"/>
      <name val="Arial"/>
      <family val="2"/>
    </font>
    <font>
      <b/>
      <sz val="12"/>
      <name val="Arial"/>
      <family val="2"/>
    </font>
    <font>
      <sz val="9"/>
      <color rgb="FF333333"/>
      <name val="Arial"/>
      <family val="2"/>
    </font>
    <font>
      <b/>
      <i/>
      <sz val="18"/>
      <color rgb="FFFF0000"/>
      <name val="Arial"/>
      <family val="2"/>
    </font>
    <font>
      <b/>
      <sz val="9"/>
      <color rgb="FF333333"/>
      <name val="Arial"/>
      <family val="2"/>
    </font>
    <font>
      <b/>
      <sz val="12"/>
      <color rgb="FFFFFFFF"/>
      <name val="Arial"/>
      <family val="2"/>
    </font>
    <font>
      <sz val="10"/>
      <color rgb="FF333333"/>
      <name val="Arial"/>
      <family val="2"/>
    </font>
    <font>
      <b/>
      <sz val="10"/>
      <color rgb="FF000000"/>
      <name val="Arial"/>
      <family val="2"/>
    </font>
    <font>
      <sz val="10"/>
      <color rgb="FF000000"/>
      <name val="Arial"/>
      <family val="2"/>
    </font>
    <font>
      <i/>
      <sz val="10"/>
      <color rgb="FF000000"/>
      <name val="Arial"/>
      <family val="2"/>
    </font>
    <font>
      <b/>
      <sz val="11"/>
      <color rgb="FFFFFFFF"/>
      <name val="Arial"/>
      <family val="2"/>
    </font>
    <font>
      <b/>
      <sz val="9"/>
      <color rgb="FFFFFFFF"/>
      <name val="Arial"/>
      <family val="2"/>
    </font>
    <font>
      <b/>
      <sz val="10"/>
      <color theme="0"/>
      <name val="Arial"/>
      <family val="2"/>
    </font>
    <font>
      <b/>
      <sz val="10"/>
      <color rgb="FFFFFFFF"/>
      <name val="Arial"/>
      <family val="2"/>
    </font>
    <font>
      <b/>
      <sz val="10"/>
      <color rgb="FF333333"/>
      <name val="Arial"/>
      <family val="2"/>
    </font>
    <font>
      <b/>
      <sz val="10"/>
      <color theme="1"/>
      <name val="Arial"/>
      <family val="2"/>
    </font>
    <font>
      <sz val="10"/>
      <color theme="1"/>
      <name val="Arial"/>
      <family val="2"/>
    </font>
    <font>
      <b/>
      <sz val="11"/>
      <color theme="0"/>
      <name val="Arial"/>
      <family val="2"/>
    </font>
    <font>
      <sz val="10"/>
      <color rgb="FFFFFF00"/>
      <name val="Arial"/>
      <family val="2"/>
    </font>
    <font>
      <sz val="11"/>
      <color rgb="FFFFFF00"/>
      <name val="Arial"/>
      <family val="2"/>
    </font>
  </fonts>
  <fills count="4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8"/>
        <bgColor indexed="64"/>
      </patternFill>
    </fill>
    <fill>
      <patternFill patternType="solid">
        <fgColor indexed="42"/>
        <bgColor indexed="64"/>
      </patternFill>
    </fill>
    <fill>
      <patternFill patternType="solid">
        <fgColor indexed="43"/>
        <bgColor indexed="64"/>
      </patternFill>
    </fill>
    <fill>
      <patternFill patternType="solid">
        <fgColor indexed="41"/>
        <bgColor indexed="64"/>
      </patternFill>
    </fill>
    <fill>
      <patternFill patternType="solid">
        <fgColor theme="0"/>
        <bgColor indexed="64"/>
      </patternFill>
    </fill>
    <fill>
      <patternFill patternType="solid">
        <fgColor rgb="FF000000"/>
        <bgColor indexed="64"/>
      </patternFill>
    </fill>
    <fill>
      <patternFill patternType="solid">
        <fgColor rgb="FFFFFFFF"/>
        <bgColor indexed="64"/>
      </patternFill>
    </fill>
    <fill>
      <patternFill patternType="solid">
        <fgColor rgb="FFFFFF00"/>
        <bgColor indexed="64"/>
      </patternFill>
    </fill>
    <fill>
      <patternFill patternType="solid">
        <fgColor theme="8" tint="0.39997558519241921"/>
        <bgColor indexed="64"/>
      </patternFill>
    </fill>
    <fill>
      <patternFill patternType="solid">
        <fgColor rgb="FFFFCC99"/>
        <bgColor indexed="64"/>
      </patternFill>
    </fill>
    <fill>
      <patternFill patternType="solid">
        <fgColor theme="6" tint="0.39997558519241921"/>
        <bgColor indexed="64"/>
      </patternFill>
    </fill>
    <fill>
      <patternFill patternType="solid">
        <fgColor theme="1"/>
        <bgColor indexed="64"/>
      </patternFill>
    </fill>
    <fill>
      <patternFill patternType="solid">
        <fgColor rgb="FFFFFF99"/>
        <bgColor indexed="64"/>
      </patternFill>
    </fill>
    <fill>
      <patternFill patternType="solid">
        <fgColor rgb="FF00FFFF"/>
        <bgColor indexed="64"/>
      </patternFill>
    </fill>
    <fill>
      <patternFill patternType="solid">
        <fgColor theme="8" tint="-0.499984740745262"/>
        <bgColor indexed="64"/>
      </patternFill>
    </fill>
    <fill>
      <patternFill patternType="solid">
        <fgColor rgb="FFFFC000"/>
        <bgColor indexed="64"/>
      </patternFill>
    </fill>
  </fills>
  <borders count="14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right/>
      <top/>
      <bottom style="double">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style="thin">
        <color indexed="64"/>
      </left>
      <right style="medium">
        <color indexed="64"/>
      </right>
      <top style="thin">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bottom/>
      <diagonal/>
    </border>
    <border>
      <left style="medium">
        <color indexed="64"/>
      </left>
      <right/>
      <top/>
      <bottom/>
      <diagonal/>
    </border>
    <border>
      <left style="thin">
        <color indexed="64"/>
      </left>
      <right/>
      <top/>
      <bottom style="thin">
        <color indexed="64"/>
      </bottom>
      <diagonal/>
    </border>
    <border>
      <left style="medium">
        <color indexed="64"/>
      </left>
      <right style="medium">
        <color theme="0"/>
      </right>
      <top style="medium">
        <color indexed="64"/>
      </top>
      <bottom/>
      <diagonal/>
    </border>
    <border>
      <left/>
      <right style="thin">
        <color theme="0"/>
      </right>
      <top style="thin">
        <color indexed="64"/>
      </top>
      <bottom/>
      <diagonal/>
    </border>
    <border>
      <left style="thin">
        <color theme="0"/>
      </left>
      <right style="thin">
        <color theme="0"/>
      </right>
      <top/>
      <bottom/>
      <diagonal/>
    </border>
    <border>
      <left/>
      <right/>
      <top/>
      <bottom style="thin">
        <color theme="0" tint="-0.249977111117893"/>
      </bottom>
      <diagonal/>
    </border>
    <border>
      <left style="thin">
        <color theme="0"/>
      </left>
      <right/>
      <top style="thin">
        <color indexed="64"/>
      </top>
      <bottom/>
      <diagonal/>
    </border>
    <border>
      <left style="thin">
        <color theme="0"/>
      </left>
      <right style="thin">
        <color indexed="64"/>
      </right>
      <top style="thin">
        <color indexed="64"/>
      </top>
      <bottom/>
      <diagonal/>
    </border>
    <border>
      <left style="hair">
        <color theme="0" tint="-0.249977111117893"/>
      </left>
      <right style="hair">
        <color theme="0" tint="-0.249977111117893"/>
      </right>
      <top style="hair">
        <color theme="0" tint="-0.249977111117893"/>
      </top>
      <bottom style="hair">
        <color theme="0" tint="-0.249977111117893"/>
      </bottom>
      <diagonal/>
    </border>
    <border>
      <left style="thin">
        <color theme="0"/>
      </left>
      <right/>
      <top style="medium">
        <color indexed="64"/>
      </top>
      <bottom/>
      <diagonal/>
    </border>
    <border>
      <left style="thin">
        <color theme="0"/>
      </left>
      <right style="medium">
        <color theme="1"/>
      </right>
      <top style="medium">
        <color indexed="64"/>
      </top>
      <bottom/>
      <diagonal/>
    </border>
    <border>
      <left/>
      <right/>
      <top/>
      <bottom style="hair">
        <color theme="0" tint="-0.249977111117893"/>
      </bottom>
      <diagonal/>
    </border>
    <border>
      <left style="hair">
        <color theme="0" tint="-0.249977111117893"/>
      </left>
      <right style="hair">
        <color theme="0" tint="-0.249977111117893"/>
      </right>
      <top style="hair">
        <color theme="0" tint="-0.249977111117893"/>
      </top>
      <bottom/>
      <diagonal/>
    </border>
    <border>
      <left style="hair">
        <color theme="0" tint="-0.249977111117893"/>
      </left>
      <right style="hair">
        <color theme="0" tint="-0.249977111117893"/>
      </right>
      <top/>
      <bottom/>
      <diagonal/>
    </border>
    <border>
      <left style="hair">
        <color theme="0" tint="-0.249977111117893"/>
      </left>
      <right style="hair">
        <color theme="0" tint="-0.249977111117893"/>
      </right>
      <top/>
      <bottom style="hair">
        <color theme="0" tint="-0.249977111117893"/>
      </bottom>
      <diagonal/>
    </border>
    <border>
      <left/>
      <right/>
      <top style="hair">
        <color theme="0" tint="-0.249977111117893"/>
      </top>
      <bottom style="hair">
        <color theme="0" tint="-0.249977111117893"/>
      </bottom>
      <diagonal/>
    </border>
    <border>
      <left/>
      <right style="hair">
        <color theme="0" tint="-0.249977111117893"/>
      </right>
      <top style="hair">
        <color theme="0" tint="-0.249977111117893"/>
      </top>
      <bottom style="hair">
        <color theme="0" tint="-0.249977111117893"/>
      </bottom>
      <diagonal/>
    </border>
    <border>
      <left/>
      <right style="hair">
        <color theme="0" tint="-0.249977111117893"/>
      </right>
      <top/>
      <bottom/>
      <diagonal/>
    </border>
    <border>
      <left/>
      <right style="hair">
        <color theme="0" tint="-0.249977111117893"/>
      </right>
      <top/>
      <bottom style="hair">
        <color theme="0" tint="-0.249977111117893"/>
      </bottom>
      <diagonal/>
    </border>
    <border>
      <left/>
      <right/>
      <top style="hair">
        <color theme="0" tint="-0.249977111117893"/>
      </top>
      <bottom/>
      <diagonal/>
    </border>
    <border>
      <left/>
      <right style="hair">
        <color theme="0" tint="-0.249977111117893"/>
      </right>
      <top style="hair">
        <color theme="0" tint="-0.249977111117893"/>
      </top>
      <bottom/>
      <diagonal/>
    </border>
    <border>
      <left style="hair">
        <color theme="0" tint="-0.249977111117893"/>
      </left>
      <right/>
      <top style="hair">
        <color theme="0" tint="-0.249977111117893"/>
      </top>
      <bottom/>
      <diagonal/>
    </border>
    <border>
      <left style="hair">
        <color theme="0" tint="-0.249977111117893"/>
      </left>
      <right/>
      <top/>
      <bottom/>
      <diagonal/>
    </border>
    <border>
      <left style="hair">
        <color theme="0" tint="-0.249977111117893"/>
      </left>
      <right/>
      <top/>
      <bottom style="hair">
        <color theme="0" tint="-0.249977111117893"/>
      </bottom>
      <diagonal/>
    </border>
    <border>
      <left style="hair">
        <color theme="0" tint="-0.249977111117893"/>
      </left>
      <right/>
      <top style="hair">
        <color theme="0" tint="-0.249977111117893"/>
      </top>
      <bottom style="hair">
        <color theme="0" tint="-0.249977111117893"/>
      </bottom>
      <diagonal/>
    </border>
    <border>
      <left style="thin">
        <color theme="0"/>
      </left>
      <right style="thin">
        <color theme="0"/>
      </right>
      <top style="thin">
        <color theme="0"/>
      </top>
      <bottom/>
      <diagonal/>
    </border>
    <border>
      <left/>
      <right/>
      <top style="hair">
        <color theme="0" tint="-0.24994659260841701"/>
      </top>
      <bottom style="thin">
        <color indexed="64"/>
      </bottom>
      <diagonal/>
    </border>
    <border>
      <left/>
      <right/>
      <top style="hair">
        <color theme="0" tint="-0.249977111117893"/>
      </top>
      <bottom style="thin">
        <color indexed="64"/>
      </bottom>
      <diagonal/>
    </border>
    <border>
      <left/>
      <right style="thin">
        <color theme="0"/>
      </right>
      <top/>
      <bottom/>
      <diagonal/>
    </border>
    <border>
      <left/>
      <right style="hair">
        <color theme="0" tint="-0.24994659260841701"/>
      </right>
      <top style="hair">
        <color theme="0" tint="-0.249977111117893"/>
      </top>
      <bottom style="hair">
        <color theme="0" tint="-0.249977111117893"/>
      </bottom>
      <diagonal/>
    </border>
    <border>
      <left style="hair">
        <color theme="0" tint="-0.249977111117893"/>
      </left>
      <right style="hair">
        <color theme="0" tint="-0.249977111117893"/>
      </right>
      <top/>
      <bottom style="hair">
        <color theme="0" tint="-0.24994659260841701"/>
      </bottom>
      <diagonal/>
    </border>
    <border>
      <left/>
      <right style="hair">
        <color theme="0" tint="-0.24994659260841701"/>
      </right>
      <top style="hair">
        <color theme="0" tint="-0.24994659260841701"/>
      </top>
      <bottom style="hair">
        <color theme="0" tint="-0.249977111117893"/>
      </bottom>
      <diagonal/>
    </border>
    <border>
      <left/>
      <right style="thin">
        <color theme="0"/>
      </right>
      <top style="medium">
        <color indexed="64"/>
      </top>
      <bottom/>
      <diagonal/>
    </border>
    <border>
      <left/>
      <right style="thin">
        <color theme="0"/>
      </right>
      <top style="thin">
        <color theme="0"/>
      </top>
      <bottom/>
      <diagonal/>
    </border>
    <border>
      <left style="thin">
        <color indexed="64"/>
      </left>
      <right style="thin">
        <color theme="0"/>
      </right>
      <top style="thin">
        <color indexed="64"/>
      </top>
      <bottom style="thin">
        <color indexed="64"/>
      </bottom>
      <diagonal/>
    </border>
    <border>
      <left/>
      <right style="thin">
        <color theme="0"/>
      </right>
      <top style="thin">
        <color indexed="64"/>
      </top>
      <bottom style="thin">
        <color indexed="64"/>
      </bottom>
      <diagonal/>
    </border>
    <border>
      <left style="thin">
        <color indexed="64"/>
      </left>
      <right style="thin">
        <color theme="0"/>
      </right>
      <top style="thin">
        <color indexed="64"/>
      </top>
      <bottom/>
      <diagonal/>
    </border>
    <border>
      <left style="hair">
        <color theme="0" tint="-0.249977111117893"/>
      </left>
      <right style="hair">
        <color theme="0" tint="-0.24994659260841701"/>
      </right>
      <top style="hair">
        <color theme="0" tint="-0.249977111117893"/>
      </top>
      <bottom style="hair">
        <color theme="0" tint="-0.249977111117893"/>
      </bottom>
      <diagonal/>
    </border>
    <border>
      <left style="hair">
        <color theme="0" tint="-0.249977111117893"/>
      </left>
      <right style="hair">
        <color theme="0" tint="-0.24994659260841701"/>
      </right>
      <top style="hair">
        <color theme="0" tint="-0.249977111117893"/>
      </top>
      <bottom/>
      <diagonal/>
    </border>
    <border>
      <left style="hair">
        <color theme="0" tint="-0.249977111117893"/>
      </left>
      <right style="hair">
        <color theme="0" tint="-0.24994659260841701"/>
      </right>
      <top/>
      <bottom/>
      <diagonal/>
    </border>
    <border>
      <left style="hair">
        <color theme="0" tint="-0.249977111117893"/>
      </left>
      <right style="hair">
        <color theme="0" tint="-0.24994659260841701"/>
      </right>
      <top/>
      <bottom style="hair">
        <color theme="0" tint="-0.249977111117893"/>
      </bottom>
      <diagonal/>
    </border>
    <border>
      <left style="hair">
        <color theme="0" tint="-0.24994659260841701"/>
      </left>
      <right/>
      <top/>
      <bottom/>
      <diagonal/>
    </border>
    <border>
      <left style="medium">
        <color theme="0"/>
      </left>
      <right style="medium">
        <color theme="0"/>
      </right>
      <top style="medium">
        <color indexed="64"/>
      </top>
      <bottom/>
      <diagonal/>
    </border>
    <border>
      <left style="medium">
        <color theme="0"/>
      </left>
      <right style="medium">
        <color indexed="64"/>
      </right>
      <top style="medium">
        <color indexed="64"/>
      </top>
      <bottom/>
      <diagonal/>
    </border>
    <border>
      <left style="hair">
        <color theme="0" tint="-0.24994659260841701"/>
      </left>
      <right style="hair">
        <color theme="0" tint="-0.24994659260841701"/>
      </right>
      <top style="hair">
        <color theme="0" tint="-0.24994659260841701"/>
      </top>
      <bottom/>
      <diagonal/>
    </border>
    <border>
      <left style="hair">
        <color theme="0" tint="-0.24994659260841701"/>
      </left>
      <right style="hair">
        <color theme="0" tint="-0.24994659260841701"/>
      </right>
      <top/>
      <bottom/>
      <diagonal/>
    </border>
    <border>
      <left style="hair">
        <color theme="0" tint="-0.24994659260841701"/>
      </left>
      <right style="hair">
        <color theme="0" tint="-0.24994659260841701"/>
      </right>
      <top/>
      <bottom style="hair">
        <color theme="0" tint="-0.249977111117893"/>
      </bottom>
      <diagonal/>
    </border>
    <border>
      <left style="hair">
        <color theme="0" tint="-0.24994659260841701"/>
      </left>
      <right style="hair">
        <color theme="0" tint="-0.24994659260841701"/>
      </right>
      <top style="hair">
        <color theme="0" tint="-0.249977111117893"/>
      </top>
      <bottom/>
      <diagonal/>
    </border>
    <border>
      <left style="hair">
        <color theme="0" tint="-0.24994659260841701"/>
      </left>
      <right style="hair">
        <color theme="0" tint="-0.24994659260841701"/>
      </right>
      <top/>
      <bottom style="hair">
        <color theme="0" tint="-0.24994659260841701"/>
      </bottom>
      <diagonal/>
    </border>
    <border>
      <left/>
      <right style="hair">
        <color theme="0" tint="-0.24994659260841701"/>
      </right>
      <top style="hair">
        <color theme="0" tint="-0.249977111117893"/>
      </top>
      <bottom style="thin">
        <color theme="0" tint="-0.24994659260841701"/>
      </bottom>
      <diagonal/>
    </border>
    <border>
      <left/>
      <right style="hair">
        <color theme="0" tint="-0.24994659260841701"/>
      </right>
      <top style="thin">
        <color theme="0" tint="-0.24994659260841701"/>
      </top>
      <bottom style="hair">
        <color theme="0" tint="-0.24994659260841701"/>
      </bottom>
      <diagonal/>
    </border>
    <border>
      <left style="thin">
        <color theme="0"/>
      </left>
      <right/>
      <top/>
      <bottom/>
      <diagonal/>
    </border>
    <border>
      <left style="thin">
        <color theme="0"/>
      </left>
      <right/>
      <top/>
      <bottom style="hair">
        <color theme="0" tint="-0.24994659260841701"/>
      </bottom>
      <diagonal/>
    </border>
    <border>
      <left/>
      <right style="hair">
        <color theme="0" tint="-0.24994659260841701"/>
      </right>
      <top style="thin">
        <color theme="0" tint="-0.24994659260841701"/>
      </top>
      <bottom style="thin">
        <color theme="0" tint="-0.24994659260841701"/>
      </bottom>
      <diagonal/>
    </border>
    <border>
      <left/>
      <right style="hair">
        <color theme="0" tint="-0.24994659260841701"/>
      </right>
      <top style="thin">
        <color theme="0" tint="-0.24994659260841701"/>
      </top>
      <bottom style="hair">
        <color theme="0" tint="-0.249977111117893"/>
      </bottom>
      <diagonal/>
    </border>
    <border>
      <left/>
      <right style="hair">
        <color theme="0" tint="-0.24994659260841701"/>
      </right>
      <top style="hair">
        <color theme="0" tint="-0.24994659260841701"/>
      </top>
      <bottom/>
      <diagonal/>
    </border>
    <border>
      <left/>
      <right style="hair">
        <color theme="0" tint="-0.24994659260841701"/>
      </right>
      <top/>
      <bottom/>
      <diagonal/>
    </border>
    <border>
      <left/>
      <right style="hair">
        <color theme="0" tint="-0.24994659260841701"/>
      </right>
      <top/>
      <bottom style="hair">
        <color theme="0" tint="-0.249977111117893"/>
      </bottom>
      <diagonal/>
    </border>
    <border>
      <left style="thin">
        <color theme="0"/>
      </left>
      <right/>
      <top style="thin">
        <color indexed="64"/>
      </top>
      <bottom style="thin">
        <color theme="0"/>
      </bottom>
      <diagonal/>
    </border>
    <border>
      <left/>
      <right/>
      <top style="thin">
        <color indexed="64"/>
      </top>
      <bottom style="thin">
        <color theme="0"/>
      </bottom>
      <diagonal/>
    </border>
    <border>
      <left style="thin">
        <color theme="0"/>
      </left>
      <right/>
      <top/>
      <bottom style="thin">
        <color theme="0"/>
      </bottom>
      <diagonal/>
    </border>
    <border>
      <left/>
      <right/>
      <top/>
      <bottom style="thin">
        <color theme="0"/>
      </bottom>
      <diagonal/>
    </border>
    <border>
      <left style="hair">
        <color theme="0" tint="-0.249977111117893"/>
      </left>
      <right style="medium">
        <color indexed="64"/>
      </right>
      <top style="hair">
        <color theme="0" tint="-0.249977111117893"/>
      </top>
      <bottom/>
      <diagonal/>
    </border>
    <border>
      <left style="medium">
        <color indexed="64"/>
      </left>
      <right style="medium">
        <color indexed="64"/>
      </right>
      <top style="hair">
        <color theme="0" tint="-0.249977111117893"/>
      </top>
      <bottom/>
      <diagonal/>
    </border>
    <border>
      <left style="medium">
        <color indexed="64"/>
      </left>
      <right style="hair">
        <color theme="0" tint="-0.249977111117893"/>
      </right>
      <top style="hair">
        <color theme="0" tint="-0.249977111117893"/>
      </top>
      <bottom/>
      <diagonal/>
    </border>
    <border>
      <left style="hair">
        <color theme="0" tint="-0.249977111117893"/>
      </left>
      <right style="medium">
        <color indexed="64"/>
      </right>
      <top/>
      <bottom/>
      <diagonal/>
    </border>
    <border>
      <left style="medium">
        <color indexed="64"/>
      </left>
      <right style="hair">
        <color theme="0" tint="-0.249977111117893"/>
      </right>
      <top/>
      <bottom/>
      <diagonal/>
    </border>
    <border>
      <left style="hair">
        <color theme="0" tint="-0.249977111117893"/>
      </left>
      <right style="medium">
        <color indexed="64"/>
      </right>
      <top/>
      <bottom style="hair">
        <color theme="0" tint="-0.249977111117893"/>
      </bottom>
      <diagonal/>
    </border>
    <border>
      <left style="medium">
        <color indexed="64"/>
      </left>
      <right style="medium">
        <color indexed="64"/>
      </right>
      <top/>
      <bottom style="hair">
        <color theme="0" tint="-0.249977111117893"/>
      </bottom>
      <diagonal/>
    </border>
    <border>
      <left style="medium">
        <color indexed="64"/>
      </left>
      <right style="hair">
        <color theme="0" tint="-0.249977111117893"/>
      </right>
      <top/>
      <bottom style="hair">
        <color theme="0" tint="-0.249977111117893"/>
      </bottom>
      <diagonal/>
    </border>
    <border>
      <left/>
      <right style="hair">
        <color theme="0" tint="-0.24994659260841701"/>
      </right>
      <top style="hair">
        <color theme="0" tint="-0.249977111117893"/>
      </top>
      <bottom/>
      <diagonal/>
    </border>
    <border>
      <left/>
      <right style="hair">
        <color theme="0" tint="-0.24994659260841701"/>
      </right>
      <top/>
      <bottom style="hair">
        <color theme="0" tint="-0.24994659260841701"/>
      </bottom>
      <diagonal/>
    </border>
    <border>
      <left/>
      <right style="hair">
        <color theme="0" tint="-0.24994659260841701"/>
      </right>
      <top style="hair">
        <color theme="0" tint="-0.24994659260841701"/>
      </top>
      <bottom style="thin">
        <color theme="0" tint="-0.24994659260841701"/>
      </bottom>
      <diagonal/>
    </border>
    <border>
      <left/>
      <right style="hair">
        <color theme="0" tint="-0.24994659260841701"/>
      </right>
      <top/>
      <bottom style="thin">
        <color theme="0" tint="-0.24994659260841701"/>
      </bottom>
      <diagonal/>
    </border>
    <border>
      <left/>
      <right style="hair">
        <color theme="0" tint="-0.24994659260841701"/>
      </right>
      <top style="thin">
        <color theme="0" tint="-0.24994659260841701"/>
      </top>
      <bottom/>
      <diagonal/>
    </border>
    <border>
      <left/>
      <right style="thin">
        <color theme="0"/>
      </right>
      <top style="thin">
        <color indexed="64"/>
      </top>
      <bottom style="thin">
        <color theme="0"/>
      </bottom>
      <diagonal/>
    </border>
    <border>
      <left/>
      <right style="thin">
        <color theme="0"/>
      </right>
      <top/>
      <bottom style="thin">
        <color theme="0"/>
      </bottom>
      <diagonal/>
    </border>
    <border>
      <left style="medium">
        <color indexed="64"/>
      </left>
      <right/>
      <top style="hair">
        <color theme="0" tint="-0.249977111117893"/>
      </top>
      <bottom/>
      <diagonal/>
    </border>
    <border>
      <left style="medium">
        <color indexed="64"/>
      </left>
      <right/>
      <top/>
      <bottom style="hair">
        <color theme="0" tint="-0.249977111117893"/>
      </bottom>
      <diagonal/>
    </border>
    <border>
      <left/>
      <right/>
      <top style="hair">
        <color theme="0" tint="-0.24994659260841701"/>
      </top>
      <bottom/>
      <diagonal/>
    </border>
    <border>
      <left/>
      <right style="thin">
        <color indexed="64"/>
      </right>
      <top style="thin">
        <color indexed="64"/>
      </top>
      <bottom style="thin">
        <color theme="0"/>
      </bottom>
      <diagonal/>
    </border>
    <border>
      <left/>
      <right style="thin">
        <color indexed="64"/>
      </right>
      <top/>
      <bottom style="thin">
        <color theme="0"/>
      </bottom>
      <diagonal/>
    </border>
    <border>
      <left style="hair">
        <color theme="0" tint="-0.249977111117893"/>
      </left>
      <right style="hair">
        <color theme="0" tint="-0.24994659260841701"/>
      </right>
      <top style="hair">
        <color theme="0" tint="-0.24994659260841701"/>
      </top>
      <bottom/>
      <diagonal/>
    </border>
    <border>
      <left style="hair">
        <color theme="0" tint="-0.249977111117893"/>
      </left>
      <right style="hair">
        <color theme="0" tint="-0.24994659260841701"/>
      </right>
      <top/>
      <bottom style="hair">
        <color theme="0" tint="-0.24994659260841701"/>
      </bottom>
      <diagonal/>
    </border>
    <border>
      <left/>
      <right style="thin">
        <color theme="0"/>
      </right>
      <top/>
      <bottom style="thin">
        <color indexed="64"/>
      </bottom>
      <diagonal/>
    </border>
    <border>
      <left style="thin">
        <color theme="0"/>
      </left>
      <right/>
      <top/>
      <bottom style="thin">
        <color indexed="64"/>
      </bottom>
      <diagonal/>
    </border>
    <border>
      <left style="thin">
        <color theme="0"/>
      </left>
      <right style="thin">
        <color theme="0"/>
      </right>
      <top style="thin">
        <color indexed="64"/>
      </top>
      <bottom/>
      <diagonal/>
    </border>
    <border>
      <left style="thin">
        <color theme="0"/>
      </left>
      <right style="thin">
        <color theme="0"/>
      </right>
      <top/>
      <bottom style="thin">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indexed="64"/>
      </right>
      <top style="thin">
        <color theme="0"/>
      </top>
      <bottom style="thin">
        <color theme="0"/>
      </bottom>
      <diagonal/>
    </border>
    <border>
      <left style="thin">
        <color theme="0"/>
      </left>
      <right/>
      <top style="thin">
        <color indexed="64"/>
      </top>
      <bottom style="thin">
        <color indexed="64"/>
      </bottom>
      <diagonal/>
    </border>
  </borders>
  <cellStyleXfs count="44">
    <xf numFmtId="0" fontId="0" fillId="0" borderId="0"/>
    <xf numFmtId="0" fontId="2" fillId="2" borderId="0" applyNumberFormat="0" applyBorder="0" applyAlignment="0" applyProtection="0">
      <alignment vertical="center"/>
    </xf>
    <xf numFmtId="0" fontId="2" fillId="3" borderId="0" applyNumberFormat="0" applyBorder="0" applyAlignment="0" applyProtection="0">
      <alignment vertical="center"/>
    </xf>
    <xf numFmtId="0" fontId="2" fillId="4" borderId="0" applyNumberFormat="0" applyBorder="0" applyAlignment="0" applyProtection="0">
      <alignment vertical="center"/>
    </xf>
    <xf numFmtId="0" fontId="2" fillId="5" borderId="0" applyNumberFormat="0" applyBorder="0" applyAlignment="0" applyProtection="0">
      <alignment vertical="center"/>
    </xf>
    <xf numFmtId="0" fontId="2" fillId="6" borderId="0" applyNumberFormat="0" applyBorder="0" applyAlignment="0" applyProtection="0">
      <alignment vertical="center"/>
    </xf>
    <xf numFmtId="0" fontId="2" fillId="7" borderId="0" applyNumberFormat="0" applyBorder="0" applyAlignment="0" applyProtection="0">
      <alignment vertical="center"/>
    </xf>
    <xf numFmtId="0" fontId="2" fillId="8" borderId="0" applyNumberFormat="0" applyBorder="0" applyAlignment="0" applyProtection="0">
      <alignment vertical="center"/>
    </xf>
    <xf numFmtId="0" fontId="2" fillId="9" borderId="0" applyNumberFormat="0" applyBorder="0" applyAlignment="0" applyProtection="0">
      <alignment vertical="center"/>
    </xf>
    <xf numFmtId="0" fontId="2" fillId="10" borderId="0" applyNumberFormat="0" applyBorder="0" applyAlignment="0" applyProtection="0">
      <alignment vertical="center"/>
    </xf>
    <xf numFmtId="0" fontId="2" fillId="5" borderId="0" applyNumberFormat="0" applyBorder="0" applyAlignment="0" applyProtection="0">
      <alignment vertical="center"/>
    </xf>
    <xf numFmtId="0" fontId="2" fillId="8" borderId="0" applyNumberFormat="0" applyBorder="0" applyAlignment="0" applyProtection="0">
      <alignment vertical="center"/>
    </xf>
    <xf numFmtId="0" fontId="2" fillId="11" borderId="0" applyNumberFormat="0" applyBorder="0" applyAlignment="0" applyProtection="0">
      <alignment vertical="center"/>
    </xf>
    <xf numFmtId="0" fontId="3" fillId="12"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9" fontId="1" fillId="0" borderId="0" applyFont="0" applyFill="0" applyBorder="0" applyAlignment="0" applyProtection="0"/>
    <xf numFmtId="0" fontId="5" fillId="22" borderId="0" applyNumberFormat="0" applyBorder="0" applyAlignment="0" applyProtection="0">
      <alignment vertical="center"/>
    </xf>
    <xf numFmtId="0" fontId="4" fillId="23" borderId="7" applyNumberFormat="0" applyFont="0" applyAlignment="0" applyProtection="0">
      <alignment vertical="center"/>
    </xf>
    <xf numFmtId="0" fontId="6" fillId="0" borderId="9" applyNumberFormat="0" applyFill="0" applyAlignment="0" applyProtection="0">
      <alignment vertical="center"/>
    </xf>
    <xf numFmtId="0" fontId="18" fillId="3" borderId="0" applyNumberFormat="0" applyBorder="0" applyAlignment="0" applyProtection="0">
      <alignment vertical="center"/>
    </xf>
    <xf numFmtId="0" fontId="7" fillId="4"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3" applyNumberFormat="0" applyFill="0" applyAlignment="0" applyProtection="0">
      <alignment vertical="center"/>
    </xf>
    <xf numFmtId="0" fontId="13" fillId="0" borderId="4" applyNumberFormat="0" applyFill="0" applyAlignment="0" applyProtection="0">
      <alignment vertical="center"/>
    </xf>
    <xf numFmtId="0" fontId="14" fillId="0" borderId="5" applyNumberFormat="0" applyFill="0" applyAlignment="0" applyProtection="0">
      <alignment vertical="center"/>
    </xf>
    <xf numFmtId="0" fontId="14" fillId="0" borderId="0" applyNumberFormat="0" applyFill="0" applyBorder="0" applyAlignment="0" applyProtection="0">
      <alignment vertical="center"/>
    </xf>
    <xf numFmtId="0" fontId="17" fillId="21" borderId="2" applyNumberFormat="0" applyAlignment="0" applyProtection="0">
      <alignment vertical="center"/>
    </xf>
    <xf numFmtId="0" fontId="8" fillId="20" borderId="1" applyNumberFormat="0" applyAlignment="0" applyProtection="0">
      <alignment vertical="center"/>
    </xf>
    <xf numFmtId="0" fontId="1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3" fillId="18"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19" borderId="0" applyNumberFormat="0" applyBorder="0" applyAlignment="0" applyProtection="0">
      <alignment vertical="center"/>
    </xf>
    <xf numFmtId="0" fontId="15" fillId="7" borderId="1" applyNumberFormat="0" applyAlignment="0" applyProtection="0">
      <alignment vertical="center"/>
    </xf>
    <xf numFmtId="0" fontId="16" fillId="20" borderId="8" applyNumberFormat="0" applyAlignment="0" applyProtection="0">
      <alignment vertical="center"/>
    </xf>
    <xf numFmtId="0" fontId="9" fillId="0" borderId="6" applyNumberFormat="0" applyFill="0" applyAlignment="0" applyProtection="0">
      <alignment vertical="center"/>
    </xf>
    <xf numFmtId="0" fontId="1" fillId="23" borderId="7" applyNumberFormat="0" applyFont="0" applyAlignment="0" applyProtection="0">
      <alignment vertical="center"/>
    </xf>
  </cellStyleXfs>
  <cellXfs count="685">
    <xf numFmtId="0" fontId="0" fillId="0" borderId="0" xfId="0"/>
    <xf numFmtId="165" fontId="26" fillId="0" borderId="0" xfId="0" applyNumberFormat="1" applyFont="1" applyAlignment="1">
      <alignment vertical="center"/>
    </xf>
    <xf numFmtId="165" fontId="0" fillId="0" borderId="0" xfId="0" applyNumberFormat="1"/>
    <xf numFmtId="0" fontId="1" fillId="0" borderId="0" xfId="0" applyFont="1" applyAlignment="1">
      <alignment horizontal="left" vertical="center"/>
    </xf>
    <xf numFmtId="165" fontId="0" fillId="0" borderId="0" xfId="0" applyNumberFormat="1" applyAlignment="1">
      <alignment horizontal="center"/>
    </xf>
    <xf numFmtId="165" fontId="0" fillId="0" borderId="10" xfId="0" applyNumberFormat="1" applyBorder="1" applyAlignment="1">
      <alignment horizontal="center"/>
    </xf>
    <xf numFmtId="9" fontId="49" fillId="0" borderId="10" xfId="0" applyNumberFormat="1" applyFont="1" applyBorder="1" applyAlignment="1">
      <alignment horizontal="center" vertical="center"/>
    </xf>
    <xf numFmtId="166" fontId="49" fillId="0" borderId="10" xfId="0" applyNumberFormat="1" applyFont="1" applyBorder="1" applyAlignment="1">
      <alignment horizontal="center" vertical="center"/>
    </xf>
    <xf numFmtId="0" fontId="49" fillId="0" borderId="11" xfId="0" applyFont="1" applyBorder="1" applyAlignment="1">
      <alignment horizontal="center" vertical="center"/>
    </xf>
    <xf numFmtId="9" fontId="49" fillId="0" borderId="12" xfId="0" applyNumberFormat="1" applyFont="1" applyBorder="1" applyAlignment="1">
      <alignment horizontal="center" vertical="center"/>
    </xf>
    <xf numFmtId="0" fontId="49" fillId="0" borderId="13" xfId="0" applyFont="1" applyBorder="1" applyAlignment="1">
      <alignment horizontal="center" vertical="center"/>
    </xf>
    <xf numFmtId="167" fontId="49" fillId="28" borderId="14" xfId="0" applyNumberFormat="1" applyFont="1" applyFill="1" applyBorder="1" applyAlignment="1">
      <alignment horizontal="center" vertical="center"/>
    </xf>
    <xf numFmtId="0" fontId="49" fillId="29" borderId="14" xfId="0" applyFont="1" applyFill="1" applyBorder="1" applyAlignment="1">
      <alignment horizontal="center" vertical="center" wrapText="1"/>
    </xf>
    <xf numFmtId="9" fontId="49" fillId="0" borderId="14" xfId="0" applyNumberFormat="1" applyFont="1" applyBorder="1" applyAlignment="1">
      <alignment horizontal="center" vertical="center"/>
    </xf>
    <xf numFmtId="166" fontId="49" fillId="0" borderId="14" xfId="0" applyNumberFormat="1" applyFont="1" applyBorder="1" applyAlignment="1">
      <alignment horizontal="center" vertical="center"/>
    </xf>
    <xf numFmtId="9" fontId="49" fillId="0" borderId="15" xfId="0" applyNumberFormat="1" applyFont="1" applyBorder="1" applyAlignment="1">
      <alignment horizontal="center" vertical="center"/>
    </xf>
    <xf numFmtId="0" fontId="0" fillId="28" borderId="0" xfId="0" applyFill="1"/>
    <xf numFmtId="0" fontId="0" fillId="0" borderId="0" xfId="0" applyAlignment="1">
      <alignment horizontal="center" vertical="center"/>
    </xf>
    <xf numFmtId="0" fontId="0" fillId="0" borderId="0" xfId="0" applyAlignment="1">
      <alignment wrapText="1"/>
    </xf>
    <xf numFmtId="0" fontId="35" fillId="30" borderId="0" xfId="0" applyFont="1" applyFill="1" applyAlignment="1">
      <alignment vertical="center" wrapText="1"/>
    </xf>
    <xf numFmtId="0" fontId="42" fillId="25" borderId="16" xfId="0" applyFont="1" applyFill="1" applyBorder="1" applyAlignment="1">
      <alignment horizontal="left" vertical="center" wrapText="1"/>
    </xf>
    <xf numFmtId="9" fontId="42" fillId="0" borderId="17" xfId="19" applyFont="1" applyFill="1" applyBorder="1" applyAlignment="1">
      <alignment horizontal="center" vertical="center" wrapText="1"/>
    </xf>
    <xf numFmtId="0" fontId="42" fillId="25" borderId="11" xfId="0" applyFont="1" applyFill="1" applyBorder="1" applyAlignment="1">
      <alignment horizontal="left" vertical="center" wrapText="1"/>
    </xf>
    <xf numFmtId="165" fontId="42" fillId="0" borderId="10" xfId="0" applyNumberFormat="1" applyFont="1" applyBorder="1" applyAlignment="1">
      <alignment horizontal="center" vertical="center"/>
    </xf>
    <xf numFmtId="9" fontId="42" fillId="0" borderId="10" xfId="19" applyFont="1" applyFill="1" applyBorder="1" applyAlignment="1">
      <alignment horizontal="center" vertical="center" wrapText="1"/>
    </xf>
    <xf numFmtId="166" fontId="42" fillId="0" borderId="10" xfId="0" applyNumberFormat="1" applyFont="1" applyBorder="1" applyAlignment="1">
      <alignment horizontal="center" vertical="center" wrapText="1"/>
    </xf>
    <xf numFmtId="0" fontId="42" fillId="25" borderId="13" xfId="0" applyFont="1" applyFill="1" applyBorder="1" applyAlignment="1">
      <alignment horizontal="left" vertical="center" wrapText="1"/>
    </xf>
    <xf numFmtId="9" fontId="42" fillId="0" borderId="14" xfId="19" applyFont="1" applyFill="1" applyBorder="1" applyAlignment="1">
      <alignment horizontal="center" vertical="center" wrapText="1"/>
    </xf>
    <xf numFmtId="166" fontId="42" fillId="0" borderId="14" xfId="0" applyNumberFormat="1" applyFont="1" applyBorder="1" applyAlignment="1">
      <alignment horizontal="center" vertical="center" wrapText="1"/>
    </xf>
    <xf numFmtId="0" fontId="42" fillId="0" borderId="0" xfId="0" applyFont="1" applyAlignment="1">
      <alignment horizontal="left" vertical="center"/>
    </xf>
    <xf numFmtId="0" fontId="42" fillId="0" borderId="0" xfId="0" applyFont="1" applyAlignment="1">
      <alignment horizontal="right" vertical="center" wrapText="1"/>
    </xf>
    <xf numFmtId="166" fontId="41" fillId="0" borderId="18" xfId="0" applyNumberFormat="1" applyFont="1" applyBorder="1" applyAlignment="1">
      <alignment horizontal="center" vertical="center" wrapText="1"/>
    </xf>
    <xf numFmtId="0" fontId="41" fillId="25" borderId="19" xfId="0" applyFont="1" applyFill="1" applyBorder="1" applyAlignment="1">
      <alignment horizontal="center" vertical="center" wrapText="1"/>
    </xf>
    <xf numFmtId="165" fontId="41" fillId="25" borderId="20" xfId="0" applyNumberFormat="1" applyFont="1" applyFill="1" applyBorder="1" applyAlignment="1">
      <alignment horizontal="center" vertical="center" wrapText="1"/>
    </xf>
    <xf numFmtId="0" fontId="41" fillId="25" borderId="20" xfId="0" applyFont="1" applyFill="1" applyBorder="1" applyAlignment="1">
      <alignment horizontal="center" vertical="center" wrapText="1"/>
    </xf>
    <xf numFmtId="0" fontId="41" fillId="25" borderId="21" xfId="0" applyFont="1" applyFill="1" applyBorder="1" applyAlignment="1">
      <alignment horizontal="center" vertical="center" wrapText="1"/>
    </xf>
    <xf numFmtId="0" fontId="41" fillId="25" borderId="22" xfId="0" applyFont="1" applyFill="1" applyBorder="1" applyAlignment="1">
      <alignment horizontal="center" vertical="center"/>
    </xf>
    <xf numFmtId="165" fontId="42" fillId="0" borderId="17" xfId="0" applyNumberFormat="1" applyFont="1" applyBorder="1" applyAlignment="1">
      <alignment horizontal="center" vertical="center"/>
    </xf>
    <xf numFmtId="0" fontId="42" fillId="26" borderId="12" xfId="0" applyFont="1" applyFill="1" applyBorder="1" applyAlignment="1">
      <alignment horizontal="center" vertical="center"/>
    </xf>
    <xf numFmtId="165" fontId="42" fillId="0" borderId="14" xfId="0" applyNumberFormat="1" applyFont="1" applyBorder="1" applyAlignment="1">
      <alignment horizontal="center" vertical="center"/>
    </xf>
    <xf numFmtId="0" fontId="42" fillId="26" borderId="15" xfId="0" applyFont="1" applyFill="1" applyBorder="1" applyAlignment="1">
      <alignment horizontal="center" vertical="center"/>
    </xf>
    <xf numFmtId="165" fontId="21" fillId="0" borderId="0" xfId="0" applyNumberFormat="1" applyFont="1"/>
    <xf numFmtId="165" fontId="50" fillId="0" borderId="24" xfId="0" applyNumberFormat="1" applyFont="1" applyBorder="1" applyAlignment="1">
      <alignment vertical="center"/>
    </xf>
    <xf numFmtId="0" fontId="42" fillId="0" borderId="0" xfId="0" applyFont="1" applyAlignment="1">
      <alignment horizontal="center" vertical="center"/>
    </xf>
    <xf numFmtId="0" fontId="41" fillId="0" borderId="0" xfId="0" applyFont="1" applyAlignment="1">
      <alignment horizontal="center" vertical="center"/>
    </xf>
    <xf numFmtId="0" fontId="51" fillId="0" borderId="25" xfId="0" applyFont="1" applyBorder="1" applyAlignment="1">
      <alignment horizontal="center" vertical="center"/>
    </xf>
    <xf numFmtId="166" fontId="37" fillId="0" borderId="18" xfId="0" applyNumberFormat="1" applyFont="1" applyBorder="1" applyAlignment="1">
      <alignment horizontal="center" vertical="center"/>
    </xf>
    <xf numFmtId="0" fontId="37" fillId="0" borderId="26" xfId="0" applyFont="1" applyBorder="1" applyAlignment="1">
      <alignment horizontal="center" vertical="center"/>
    </xf>
    <xf numFmtId="0" fontId="49" fillId="0" borderId="27" xfId="0" applyFont="1" applyBorder="1" applyAlignment="1">
      <alignment horizontal="center" vertical="center"/>
    </xf>
    <xf numFmtId="9" fontId="49" fillId="0" borderId="28" xfId="0" applyNumberFormat="1" applyFont="1" applyBorder="1" applyAlignment="1">
      <alignment horizontal="center" vertical="center"/>
    </xf>
    <xf numFmtId="166" fontId="49" fillId="0" borderId="28" xfId="0" applyNumberFormat="1" applyFont="1" applyBorder="1" applyAlignment="1">
      <alignment horizontal="center" vertical="center"/>
    </xf>
    <xf numFmtId="9" fontId="49" fillId="0" borderId="29" xfId="0" applyNumberFormat="1" applyFont="1" applyBorder="1" applyAlignment="1">
      <alignment horizontal="center" vertical="center"/>
    </xf>
    <xf numFmtId="0" fontId="36" fillId="27" borderId="30" xfId="0" applyFont="1" applyFill="1" applyBorder="1" applyAlignment="1">
      <alignment horizontal="center" vertical="center"/>
    </xf>
    <xf numFmtId="0" fontId="36" fillId="27" borderId="31" xfId="0" applyFont="1" applyFill="1" applyBorder="1" applyAlignment="1">
      <alignment horizontal="center" vertical="center" wrapText="1"/>
    </xf>
    <xf numFmtId="0" fontId="36" fillId="27" borderId="32" xfId="0" applyFont="1" applyFill="1" applyBorder="1" applyAlignment="1">
      <alignment horizontal="center" vertical="center" wrapText="1"/>
    </xf>
    <xf numFmtId="0" fontId="52" fillId="29" borderId="57" xfId="0" applyFont="1" applyFill="1" applyBorder="1" applyAlignment="1">
      <alignment horizontal="center" vertical="center" wrapText="1"/>
    </xf>
    <xf numFmtId="0" fontId="23" fillId="28" borderId="0" xfId="0" applyFont="1" applyFill="1"/>
    <xf numFmtId="0" fontId="53" fillId="28" borderId="0" xfId="0" applyFont="1" applyFill="1" applyAlignment="1">
      <alignment vertical="center"/>
    </xf>
    <xf numFmtId="0" fontId="23" fillId="28" borderId="0" xfId="0" applyFont="1" applyFill="1" applyAlignment="1">
      <alignment horizontal="center" vertical="center"/>
    </xf>
    <xf numFmtId="0" fontId="54" fillId="28" borderId="0" xfId="0" applyFont="1" applyFill="1" applyAlignment="1">
      <alignment vertical="center" wrapText="1"/>
    </xf>
    <xf numFmtId="0" fontId="55" fillId="28" borderId="0" xfId="0" applyFont="1" applyFill="1" applyAlignment="1">
      <alignment horizontal="justify" vertical="center" wrapText="1"/>
    </xf>
    <xf numFmtId="0" fontId="0" fillId="28" borderId="0" xfId="0" applyFill="1" applyAlignment="1">
      <alignment vertical="top" wrapText="1"/>
    </xf>
    <xf numFmtId="0" fontId="4" fillId="28" borderId="0" xfId="0" applyFont="1" applyFill="1" applyAlignment="1">
      <alignment vertical="center" wrapText="1"/>
    </xf>
    <xf numFmtId="0" fontId="0" fillId="28" borderId="0" xfId="0" applyFill="1" applyAlignment="1">
      <alignment vertical="center" wrapText="1"/>
    </xf>
    <xf numFmtId="0" fontId="35" fillId="28" borderId="0" xfId="0" applyFont="1" applyFill="1" applyAlignment="1">
      <alignment horizontal="right"/>
    </xf>
    <xf numFmtId="0" fontId="56" fillId="28" borderId="0" xfId="0" applyFont="1" applyFill="1" applyAlignment="1">
      <alignment horizontal="justify" vertical="center" wrapText="1"/>
    </xf>
    <xf numFmtId="0" fontId="0" fillId="28" borderId="0" xfId="0" applyFill="1" applyAlignment="1">
      <alignment horizontal="center" vertical="center"/>
    </xf>
    <xf numFmtId="0" fontId="0" fillId="28" borderId="0" xfId="0" applyFill="1" applyAlignment="1">
      <alignment horizontal="right"/>
    </xf>
    <xf numFmtId="0" fontId="57" fillId="29" borderId="58" xfId="0" applyFont="1" applyFill="1" applyBorder="1" applyAlignment="1">
      <alignment vertical="center" wrapText="1"/>
    </xf>
    <xf numFmtId="0" fontId="57" fillId="29" borderId="59" xfId="0" applyFont="1" applyFill="1" applyBorder="1" applyAlignment="1">
      <alignment horizontal="center" vertical="center" wrapText="1"/>
    </xf>
    <xf numFmtId="0" fontId="35" fillId="30" borderId="0" xfId="0" applyFont="1" applyFill="1" applyAlignment="1">
      <alignment horizontal="center" vertical="center" wrapText="1"/>
    </xf>
    <xf numFmtId="0" fontId="22" fillId="28" borderId="0" xfId="0" applyFont="1" applyFill="1"/>
    <xf numFmtId="0" fontId="44" fillId="24" borderId="33" xfId="0" applyFont="1" applyFill="1" applyBorder="1" applyAlignment="1">
      <alignment vertical="center" wrapText="1"/>
    </xf>
    <xf numFmtId="0" fontId="28" fillId="28" borderId="0" xfId="0" applyFont="1" applyFill="1" applyAlignment="1">
      <alignment horizontal="justify" vertical="center" wrapText="1"/>
    </xf>
    <xf numFmtId="0" fontId="28" fillId="28" borderId="0" xfId="0" applyFont="1" applyFill="1" applyAlignment="1">
      <alignment vertical="center" wrapText="1"/>
    </xf>
    <xf numFmtId="0" fontId="0" fillId="0" borderId="0" xfId="0" applyAlignment="1">
      <alignment vertical="center"/>
    </xf>
    <xf numFmtId="0" fontId="0" fillId="0" borderId="60" xfId="0" applyBorder="1"/>
    <xf numFmtId="0" fontId="0" fillId="28" borderId="0" xfId="0" applyFill="1" applyAlignment="1">
      <alignment vertical="center"/>
    </xf>
    <xf numFmtId="0" fontId="0" fillId="31" borderId="10" xfId="0" applyFill="1" applyBorder="1" applyAlignment="1" applyProtection="1">
      <alignment horizontal="center" vertical="center" wrapText="1"/>
      <protection locked="0"/>
    </xf>
    <xf numFmtId="0" fontId="30" fillId="28" borderId="0" xfId="0" applyFont="1" applyFill="1" applyAlignment="1">
      <alignment horizontal="justify" vertical="center" wrapText="1"/>
    </xf>
    <xf numFmtId="165" fontId="23" fillId="0" borderId="0" xfId="0" applyNumberFormat="1" applyFont="1" applyAlignment="1">
      <alignment vertical="center"/>
    </xf>
    <xf numFmtId="0" fontId="56" fillId="28" borderId="0" xfId="0" applyFont="1" applyFill="1" applyAlignment="1">
      <alignment vertical="center" wrapText="1"/>
    </xf>
    <xf numFmtId="0" fontId="55" fillId="28" borderId="0" xfId="0" applyFont="1" applyFill="1" applyAlignment="1">
      <alignment vertical="center" wrapText="1"/>
    </xf>
    <xf numFmtId="0" fontId="27" fillId="0" borderId="0" xfId="0" applyFont="1"/>
    <xf numFmtId="0" fontId="0" fillId="0" borderId="0" xfId="0" applyAlignment="1">
      <alignment horizontal="center"/>
    </xf>
    <xf numFmtId="0" fontId="4" fillId="28" borderId="0" xfId="0" applyFont="1" applyFill="1" applyAlignment="1">
      <alignment horizontal="justify" vertical="center" wrapText="1"/>
    </xf>
    <xf numFmtId="0" fontId="54" fillId="28" borderId="0" xfId="0" applyFont="1" applyFill="1" applyAlignment="1">
      <alignment horizontal="justify" vertical="center" wrapText="1"/>
    </xf>
    <xf numFmtId="0" fontId="4" fillId="28" borderId="0" xfId="0" applyFont="1" applyFill="1" applyAlignment="1">
      <alignment horizontal="center" vertical="center" wrapText="1"/>
    </xf>
    <xf numFmtId="0" fontId="0" fillId="28" borderId="0" xfId="0" applyFill="1" applyAlignment="1">
      <alignment vertical="top"/>
    </xf>
    <xf numFmtId="0" fontId="0" fillId="0" borderId="0" xfId="0" applyAlignment="1">
      <alignment vertical="top"/>
    </xf>
    <xf numFmtId="0" fontId="0" fillId="28" borderId="0" xfId="0" applyFill="1" applyAlignment="1">
      <alignment horizontal="left"/>
    </xf>
    <xf numFmtId="0" fontId="0" fillId="0" borderId="0" xfId="0" applyAlignment="1">
      <alignment horizontal="left"/>
    </xf>
    <xf numFmtId="0" fontId="0" fillId="28" borderId="0" xfId="0" applyFill="1" applyAlignment="1">
      <alignment horizontal="justify" vertical="center" wrapText="1"/>
    </xf>
    <xf numFmtId="0" fontId="20" fillId="32" borderId="0" xfId="0" applyFont="1" applyFill="1" applyAlignment="1">
      <alignment horizontal="center" vertical="center" wrapText="1"/>
    </xf>
    <xf numFmtId="0" fontId="46" fillId="0" borderId="16" xfId="0" applyFont="1" applyBorder="1" applyAlignment="1">
      <alignment horizontal="center"/>
    </xf>
    <xf numFmtId="0" fontId="46" fillId="0" borderId="17" xfId="0" applyFont="1" applyBorder="1" applyAlignment="1">
      <alignment horizontal="center"/>
    </xf>
    <xf numFmtId="0" fontId="46" fillId="0" borderId="23" xfId="0" applyFont="1"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9" fontId="0" fillId="0" borderId="12" xfId="0" applyNumberFormat="1" applyBorder="1" applyAlignment="1">
      <alignment horizontal="center"/>
    </xf>
    <xf numFmtId="9" fontId="0" fillId="0" borderId="34" xfId="0" applyNumberFormat="1" applyBorder="1" applyAlignment="1">
      <alignment horizontal="center"/>
    </xf>
    <xf numFmtId="0" fontId="20" fillId="33" borderId="59" xfId="0" applyFont="1" applyFill="1" applyBorder="1" applyAlignment="1">
      <alignment horizontal="center" vertical="center" wrapText="1"/>
    </xf>
    <xf numFmtId="0" fontId="20" fillId="34" borderId="59" xfId="0" applyFont="1" applyFill="1" applyBorder="1" applyAlignment="1">
      <alignment horizontal="center" vertical="center" wrapText="1"/>
    </xf>
    <xf numFmtId="0" fontId="0" fillId="28" borderId="0" xfId="0" applyFill="1" applyAlignment="1">
      <alignment horizontal="left" vertical="center"/>
    </xf>
    <xf numFmtId="0" fontId="4" fillId="0" borderId="0" xfId="0" applyFont="1" applyAlignment="1">
      <alignment horizontal="left" vertical="center" wrapText="1"/>
    </xf>
    <xf numFmtId="0" fontId="0" fillId="0" borderId="0" xfId="0" applyAlignment="1">
      <alignment horizontal="left" vertical="center"/>
    </xf>
    <xf numFmtId="0" fontId="35" fillId="28" borderId="0" xfId="0" applyFont="1" applyFill="1" applyAlignment="1">
      <alignment horizontal="center" vertical="center" wrapText="1"/>
    </xf>
    <xf numFmtId="0" fontId="41" fillId="0" borderId="25" xfId="0" applyFont="1" applyBorder="1" applyAlignment="1">
      <alignment horizontal="center" vertical="center" wrapText="1"/>
    </xf>
    <xf numFmtId="0" fontId="35" fillId="28" borderId="0" xfId="0" applyFont="1" applyFill="1" applyAlignment="1">
      <alignment horizontal="right" vertical="center"/>
    </xf>
    <xf numFmtId="0" fontId="35" fillId="28" borderId="0" xfId="0" applyFont="1" applyFill="1" applyAlignment="1">
      <alignment horizontal="center" vertical="center"/>
    </xf>
    <xf numFmtId="0" fontId="0" fillId="28" borderId="35" xfId="0" applyFill="1" applyBorder="1"/>
    <xf numFmtId="0" fontId="0" fillId="28" borderId="0" xfId="0" applyFill="1" applyAlignment="1">
      <alignment horizontal="justify"/>
    </xf>
    <xf numFmtId="0" fontId="0" fillId="0" borderId="0" xfId="0" applyAlignment="1">
      <alignment horizontal="justify"/>
    </xf>
    <xf numFmtId="0" fontId="57" fillId="29" borderId="61" xfId="0" applyFont="1" applyFill="1" applyBorder="1" applyAlignment="1">
      <alignment horizontal="center" vertical="center" wrapText="1"/>
    </xf>
    <xf numFmtId="0" fontId="57" fillId="29" borderId="62" xfId="0" applyFont="1" applyFill="1" applyBorder="1" applyAlignment="1">
      <alignment horizontal="center" vertical="center" wrapText="1"/>
    </xf>
    <xf numFmtId="0" fontId="54" fillId="28" borderId="63" xfId="0" applyFont="1" applyFill="1" applyBorder="1" applyAlignment="1">
      <alignment horizontal="left" vertical="center" wrapText="1"/>
    </xf>
    <xf numFmtId="0" fontId="54" fillId="28" borderId="63" xfId="0" applyFont="1" applyFill="1" applyBorder="1" applyAlignment="1">
      <alignment vertical="center" wrapText="1"/>
    </xf>
    <xf numFmtId="0" fontId="57" fillId="35" borderId="64" xfId="0" applyFont="1" applyFill="1" applyBorder="1" applyAlignment="1">
      <alignment horizontal="center" vertical="center" wrapText="1"/>
    </xf>
    <xf numFmtId="0" fontId="57" fillId="35" borderId="65" xfId="0" applyFont="1" applyFill="1" applyBorder="1" applyAlignment="1">
      <alignment horizontal="center" vertical="center" wrapText="1"/>
    </xf>
    <xf numFmtId="0" fontId="56" fillId="28" borderId="66" xfId="0" applyFont="1" applyFill="1" applyBorder="1" applyAlignment="1">
      <alignment horizontal="right" vertical="center" wrapText="1"/>
    </xf>
    <xf numFmtId="0" fontId="54" fillId="28" borderId="67" xfId="0" applyFont="1" applyFill="1" applyBorder="1" applyAlignment="1">
      <alignment horizontal="left" vertical="center" wrapText="1"/>
    </xf>
    <xf numFmtId="0" fontId="55" fillId="28" borderId="68" xfId="0" applyFont="1" applyFill="1" applyBorder="1" applyAlignment="1">
      <alignment horizontal="left" vertical="center" wrapText="1"/>
    </xf>
    <xf numFmtId="0" fontId="55" fillId="28" borderId="69" xfId="0" applyFont="1" applyFill="1" applyBorder="1" applyAlignment="1">
      <alignment horizontal="left" vertical="center" wrapText="1"/>
    </xf>
    <xf numFmtId="0" fontId="0" fillId="28" borderId="68" xfId="0" applyFill="1" applyBorder="1" applyAlignment="1">
      <alignment horizontal="left" vertical="top" wrapText="1"/>
    </xf>
    <xf numFmtId="0" fontId="54" fillId="28" borderId="68" xfId="0" applyFont="1" applyFill="1" applyBorder="1" applyAlignment="1">
      <alignment horizontal="left" vertical="center" wrapText="1"/>
    </xf>
    <xf numFmtId="0" fontId="54" fillId="28" borderId="68" xfId="0" applyFont="1" applyFill="1" applyBorder="1" applyAlignment="1">
      <alignment vertical="top" wrapText="1"/>
    </xf>
    <xf numFmtId="0" fontId="54" fillId="28" borderId="70" xfId="0" applyFont="1" applyFill="1" applyBorder="1" applyAlignment="1">
      <alignment vertical="center" wrapText="1"/>
    </xf>
    <xf numFmtId="0" fontId="54" fillId="28" borderId="71" xfId="0" applyFont="1" applyFill="1" applyBorder="1" applyAlignment="1">
      <alignment vertical="center" wrapText="1"/>
    </xf>
    <xf numFmtId="0" fontId="54" fillId="28" borderId="70" xfId="0" applyFont="1" applyFill="1" applyBorder="1" applyAlignment="1">
      <alignment horizontal="justify" vertical="center" wrapText="1"/>
    </xf>
    <xf numFmtId="0" fontId="55" fillId="28" borderId="72" xfId="0" applyFont="1" applyFill="1" applyBorder="1" applyAlignment="1">
      <alignment horizontal="justify" vertical="center" wrapText="1"/>
    </xf>
    <xf numFmtId="0" fontId="4" fillId="28" borderId="72" xfId="0" applyFont="1" applyFill="1" applyBorder="1" applyAlignment="1">
      <alignment vertical="center" wrapText="1"/>
    </xf>
    <xf numFmtId="0" fontId="30" fillId="28" borderId="72" xfId="0" applyFont="1" applyFill="1" applyBorder="1" applyAlignment="1">
      <alignment vertical="center" wrapText="1"/>
    </xf>
    <xf numFmtId="0" fontId="54" fillId="28" borderId="72" xfId="0" applyFont="1" applyFill="1" applyBorder="1" applyAlignment="1">
      <alignment vertical="center" wrapText="1"/>
    </xf>
    <xf numFmtId="0" fontId="30" fillId="28" borderId="72" xfId="0" applyFont="1" applyFill="1" applyBorder="1" applyAlignment="1">
      <alignment horizontal="justify" vertical="center" wrapText="1"/>
    </xf>
    <xf numFmtId="0" fontId="55" fillId="28" borderId="72" xfId="0" applyFont="1" applyFill="1" applyBorder="1" applyAlignment="1">
      <alignment vertical="center" wrapText="1"/>
    </xf>
    <xf numFmtId="0" fontId="56" fillId="28" borderId="72" xfId="0" applyFont="1" applyFill="1" applyBorder="1" applyAlignment="1">
      <alignment vertical="center" wrapText="1"/>
    </xf>
    <xf numFmtId="0" fontId="0" fillId="28" borderId="72" xfId="0" applyFill="1" applyBorder="1" applyAlignment="1">
      <alignment vertical="center" wrapText="1"/>
    </xf>
    <xf numFmtId="0" fontId="55" fillId="28" borderId="72" xfId="0" applyFont="1" applyFill="1" applyBorder="1" applyAlignment="1">
      <alignment vertical="top" wrapText="1"/>
    </xf>
    <xf numFmtId="0" fontId="56" fillId="28" borderId="73" xfId="0" applyFont="1" applyFill="1" applyBorder="1" applyAlignment="1">
      <alignment horizontal="right" vertical="center" wrapText="1"/>
    </xf>
    <xf numFmtId="0" fontId="54" fillId="28" borderId="74" xfId="0" applyFont="1" applyFill="1" applyBorder="1" applyAlignment="1">
      <alignment vertical="center" wrapText="1"/>
    </xf>
    <xf numFmtId="0" fontId="54" fillId="28" borderId="75" xfId="0" applyFont="1" applyFill="1" applyBorder="1" applyAlignment="1">
      <alignment vertical="center" wrapText="1"/>
    </xf>
    <xf numFmtId="0" fontId="54" fillId="28" borderId="76" xfId="0" applyFont="1" applyFill="1" applyBorder="1" applyAlignment="1">
      <alignment vertical="center" wrapText="1"/>
    </xf>
    <xf numFmtId="0" fontId="54" fillId="28" borderId="77" xfId="0" applyFont="1" applyFill="1" applyBorder="1" applyAlignment="1">
      <alignment vertical="top" wrapText="1"/>
    </xf>
    <xf numFmtId="0" fontId="54" fillId="28" borderId="78" xfId="0" applyFont="1" applyFill="1" applyBorder="1" applyAlignment="1">
      <alignment vertical="top" wrapText="1"/>
    </xf>
    <xf numFmtId="0" fontId="30" fillId="28" borderId="73" xfId="0" applyFont="1" applyFill="1" applyBorder="1" applyAlignment="1">
      <alignment horizontal="left" vertical="center" wrapText="1"/>
    </xf>
    <xf numFmtId="0" fontId="55" fillId="28" borderId="77" xfId="0" applyFont="1" applyFill="1" applyBorder="1" applyAlignment="1">
      <alignment horizontal="justify" vertical="center" wrapText="1"/>
    </xf>
    <xf numFmtId="0" fontId="55" fillId="28" borderId="78" xfId="0" applyFont="1" applyFill="1" applyBorder="1" applyAlignment="1">
      <alignment horizontal="justify" vertical="center" wrapText="1"/>
    </xf>
    <xf numFmtId="0" fontId="54" fillId="28" borderId="77" xfId="0" applyFont="1" applyFill="1" applyBorder="1" applyAlignment="1">
      <alignment vertical="center" wrapText="1"/>
    </xf>
    <xf numFmtId="0" fontId="55" fillId="28" borderId="77" xfId="0" applyFont="1" applyFill="1" applyBorder="1" applyAlignment="1">
      <alignment vertical="center" wrapText="1"/>
    </xf>
    <xf numFmtId="0" fontId="0" fillId="28" borderId="77" xfId="0" applyFill="1" applyBorder="1" applyAlignment="1">
      <alignment vertical="top" wrapText="1"/>
    </xf>
    <xf numFmtId="0" fontId="54" fillId="28" borderId="79" xfId="0" applyFont="1" applyFill="1" applyBorder="1" applyAlignment="1">
      <alignment vertical="center" wrapText="1"/>
    </xf>
    <xf numFmtId="0" fontId="55" fillId="28" borderId="77" xfId="0" applyFont="1" applyFill="1" applyBorder="1" applyAlignment="1">
      <alignment vertical="top" wrapText="1"/>
    </xf>
    <xf numFmtId="0" fontId="54" fillId="28" borderId="77" xfId="0" applyFont="1" applyFill="1" applyBorder="1" applyAlignment="1">
      <alignment horizontal="left" vertical="top" wrapText="1"/>
    </xf>
    <xf numFmtId="0" fontId="54" fillId="28" borderId="77" xfId="0" applyFont="1" applyFill="1" applyBorder="1" applyAlignment="1">
      <alignment horizontal="left" vertical="center" wrapText="1"/>
    </xf>
    <xf numFmtId="0" fontId="55" fillId="28" borderId="77" xfId="0" applyFont="1" applyFill="1" applyBorder="1" applyAlignment="1">
      <alignment horizontal="left" vertical="center" wrapText="1"/>
    </xf>
    <xf numFmtId="0" fontId="4" fillId="28" borderId="77" xfId="0" applyFont="1" applyFill="1" applyBorder="1" applyAlignment="1">
      <alignment horizontal="left" vertical="center" wrapText="1"/>
    </xf>
    <xf numFmtId="0" fontId="0" fillId="28" borderId="77" xfId="0" applyFill="1" applyBorder="1" applyAlignment="1">
      <alignment horizontal="left" vertical="top" wrapText="1"/>
    </xf>
    <xf numFmtId="0" fontId="4" fillId="28" borderId="77" xfId="0" applyFont="1" applyFill="1" applyBorder="1" applyAlignment="1">
      <alignment horizontal="justify" vertical="center" wrapText="1"/>
    </xf>
    <xf numFmtId="0" fontId="0" fillId="28" borderId="78" xfId="0" applyFill="1" applyBorder="1"/>
    <xf numFmtId="0" fontId="54" fillId="28" borderId="76" xfId="0" applyFont="1" applyFill="1" applyBorder="1" applyAlignment="1">
      <alignment horizontal="left" vertical="center" wrapText="1"/>
    </xf>
    <xf numFmtId="0" fontId="54" fillId="28" borderId="76" xfId="0" applyFont="1" applyFill="1" applyBorder="1" applyAlignment="1">
      <alignment horizontal="justify" vertical="center" wrapText="1"/>
    </xf>
    <xf numFmtId="0" fontId="54" fillId="28" borderId="74" xfId="0" applyFont="1" applyFill="1" applyBorder="1" applyAlignment="1">
      <alignment horizontal="justify" vertical="center" wrapText="1"/>
    </xf>
    <xf numFmtId="0" fontId="54" fillId="28" borderId="75" xfId="0" applyFont="1" applyFill="1" applyBorder="1" applyAlignment="1">
      <alignment horizontal="justify" vertical="center" wrapText="1"/>
    </xf>
    <xf numFmtId="0" fontId="54" fillId="28" borderId="78" xfId="0" applyFont="1" applyFill="1" applyBorder="1" applyAlignment="1">
      <alignment horizontal="left" vertical="top" wrapText="1"/>
    </xf>
    <xf numFmtId="0" fontId="54" fillId="28" borderId="78" xfId="0" applyFont="1" applyFill="1" applyBorder="1" applyAlignment="1">
      <alignment vertical="center" wrapText="1"/>
    </xf>
    <xf numFmtId="0" fontId="54" fillId="28" borderId="78" xfId="0" applyFont="1" applyFill="1" applyBorder="1" applyAlignment="1">
      <alignment horizontal="left" vertical="center" wrapText="1"/>
    </xf>
    <xf numFmtId="0" fontId="30" fillId="28" borderId="73" xfId="0" applyFont="1" applyFill="1" applyBorder="1" applyAlignment="1">
      <alignment horizontal="justify" vertical="center" wrapText="1"/>
    </xf>
    <xf numFmtId="0" fontId="54" fillId="28" borderId="79" xfId="0" applyFont="1" applyFill="1" applyBorder="1" applyAlignment="1">
      <alignment horizontal="left" vertical="center" wrapText="1"/>
    </xf>
    <xf numFmtId="0" fontId="54" fillId="28" borderId="79" xfId="0" applyFont="1" applyFill="1" applyBorder="1" applyAlignment="1">
      <alignment horizontal="justify" vertical="center" wrapText="1"/>
    </xf>
    <xf numFmtId="0" fontId="54" fillId="28" borderId="71" xfId="0" applyFont="1" applyFill="1" applyBorder="1" applyAlignment="1">
      <alignment horizontal="justify" vertical="center" wrapText="1"/>
    </xf>
    <xf numFmtId="0" fontId="55" fillId="28" borderId="78" xfId="0" applyFont="1" applyFill="1" applyBorder="1" applyAlignment="1">
      <alignment horizontal="left" vertical="center" wrapText="1"/>
    </xf>
    <xf numFmtId="0" fontId="57" fillId="29" borderId="80" xfId="0" applyFont="1" applyFill="1" applyBorder="1" applyAlignment="1">
      <alignment horizontal="center" vertical="center" wrapText="1"/>
    </xf>
    <xf numFmtId="0" fontId="20" fillId="36" borderId="80" xfId="0" applyFont="1" applyFill="1" applyBorder="1" applyAlignment="1">
      <alignment horizontal="center" vertical="center" wrapText="1"/>
    </xf>
    <xf numFmtId="0" fontId="27" fillId="28" borderId="67" xfId="0" applyFont="1" applyFill="1" applyBorder="1" applyAlignment="1">
      <alignment horizontal="center" vertical="center"/>
    </xf>
    <xf numFmtId="0" fontId="35" fillId="28" borderId="81" xfId="0" applyFont="1" applyFill="1" applyBorder="1"/>
    <xf numFmtId="0" fontId="35" fillId="28" borderId="81" xfId="0" applyFont="1" applyFill="1" applyBorder="1" applyAlignment="1">
      <alignment horizontal="right"/>
    </xf>
    <xf numFmtId="0" fontId="0" fillId="28" borderId="82" xfId="0" applyFill="1" applyBorder="1"/>
    <xf numFmtId="0" fontId="0" fillId="28" borderId="82" xfId="0" applyFill="1" applyBorder="1" applyAlignment="1">
      <alignment horizontal="right"/>
    </xf>
    <xf numFmtId="0" fontId="0" fillId="28" borderId="82" xfId="0" applyFill="1" applyBorder="1" applyAlignment="1">
      <alignment horizontal="center" vertical="center"/>
    </xf>
    <xf numFmtId="0" fontId="0" fillId="28" borderId="66" xfId="0" applyFill="1" applyBorder="1"/>
    <xf numFmtId="0" fontId="30" fillId="28" borderId="66" xfId="0" applyFont="1" applyFill="1" applyBorder="1" applyAlignment="1">
      <alignment horizontal="justify" vertical="center" wrapText="1"/>
    </xf>
    <xf numFmtId="0" fontId="54" fillId="28" borderId="66" xfId="0" applyFont="1" applyFill="1" applyBorder="1" applyAlignment="1">
      <alignment vertical="center" wrapText="1"/>
    </xf>
    <xf numFmtId="0" fontId="55" fillId="28" borderId="66" xfId="0" applyFont="1" applyFill="1" applyBorder="1" applyAlignment="1">
      <alignment horizontal="justify" vertical="center" wrapText="1"/>
    </xf>
    <xf numFmtId="0" fontId="55" fillId="28" borderId="66" xfId="0" applyFont="1" applyFill="1" applyBorder="1" applyAlignment="1">
      <alignment vertical="center" wrapText="1"/>
    </xf>
    <xf numFmtId="0" fontId="54" fillId="28" borderId="69" xfId="0" applyFont="1" applyFill="1" applyBorder="1" applyAlignment="1">
      <alignment horizontal="left" vertical="center" wrapText="1"/>
    </xf>
    <xf numFmtId="0" fontId="4" fillId="28" borderId="68" xfId="0" applyFont="1" applyFill="1" applyBorder="1" applyAlignment="1">
      <alignment horizontal="left" vertical="center" wrapText="1"/>
    </xf>
    <xf numFmtId="0" fontId="27" fillId="28" borderId="66" xfId="0" applyFont="1" applyFill="1" applyBorder="1" applyAlignment="1">
      <alignment horizontal="right" vertical="center" wrapText="1"/>
    </xf>
    <xf numFmtId="0" fontId="27" fillId="28" borderId="69" xfId="0" applyFont="1" applyFill="1" applyBorder="1" applyAlignment="1">
      <alignment horizontal="center" vertical="center"/>
    </xf>
    <xf numFmtId="0" fontId="27" fillId="28" borderId="78" xfId="0" applyFont="1" applyFill="1" applyBorder="1" applyAlignment="1">
      <alignment horizontal="center" vertical="center"/>
    </xf>
    <xf numFmtId="0" fontId="27" fillId="28" borderId="75" xfId="0" applyFont="1" applyFill="1" applyBorder="1" applyAlignment="1">
      <alignment horizontal="center" vertical="center"/>
    </xf>
    <xf numFmtId="0" fontId="27" fillId="28" borderId="73" xfId="0" applyFont="1" applyFill="1" applyBorder="1" applyAlignment="1">
      <alignment horizontal="center" vertical="center"/>
    </xf>
    <xf numFmtId="0" fontId="0" fillId="28" borderId="70" xfId="0" applyFill="1" applyBorder="1" applyAlignment="1">
      <alignment horizontal="justify" vertical="center" wrapText="1"/>
    </xf>
    <xf numFmtId="0" fontId="0" fillId="28" borderId="66" xfId="0" applyFill="1" applyBorder="1" applyAlignment="1">
      <alignment horizontal="justify" vertical="center" wrapText="1"/>
    </xf>
    <xf numFmtId="0" fontId="56" fillId="28" borderId="66" xfId="0" applyFont="1" applyFill="1" applyBorder="1" applyAlignment="1">
      <alignment horizontal="justify" vertical="center" wrapText="1"/>
    </xf>
    <xf numFmtId="0" fontId="54" fillId="28" borderId="68" xfId="0" applyFont="1" applyFill="1" applyBorder="1" applyAlignment="1">
      <alignment vertical="center" wrapText="1"/>
    </xf>
    <xf numFmtId="0" fontId="54" fillId="28" borderId="69" xfId="0" applyFont="1" applyFill="1" applyBorder="1" applyAlignment="1">
      <alignment vertical="center" wrapText="1"/>
    </xf>
    <xf numFmtId="0" fontId="44" fillId="24" borderId="62" xfId="0" applyFont="1" applyFill="1" applyBorder="1" applyAlignment="1">
      <alignment horizontal="center" vertical="center" wrapText="1"/>
    </xf>
    <xf numFmtId="0" fontId="29" fillId="28" borderId="66" xfId="0" applyFont="1" applyFill="1" applyBorder="1" applyAlignment="1">
      <alignment vertical="center" wrapText="1"/>
    </xf>
    <xf numFmtId="0" fontId="56" fillId="28" borderId="66" xfId="0" applyFont="1" applyFill="1" applyBorder="1" applyAlignment="1">
      <alignment vertical="center" wrapText="1"/>
    </xf>
    <xf numFmtId="0" fontId="28" fillId="28" borderId="73" xfId="0" applyFont="1" applyFill="1" applyBorder="1" applyAlignment="1">
      <alignment horizontal="justify" vertical="center" wrapText="1"/>
    </xf>
    <xf numFmtId="0" fontId="29" fillId="28" borderId="73" xfId="0" applyFont="1" applyFill="1" applyBorder="1" applyAlignment="1">
      <alignment horizontal="justify" vertical="center" wrapText="1"/>
    </xf>
    <xf numFmtId="0" fontId="45" fillId="28" borderId="73" xfId="0" applyFont="1" applyFill="1" applyBorder="1" applyAlignment="1">
      <alignment horizontal="justify" vertical="center" wrapText="1"/>
    </xf>
    <xf numFmtId="0" fontId="28" fillId="28" borderId="66" xfId="0" applyFont="1" applyFill="1" applyBorder="1" applyAlignment="1">
      <alignment horizontal="justify" vertical="center" wrapText="1"/>
    </xf>
    <xf numFmtId="0" fontId="0" fillId="28" borderId="66" xfId="0" applyFill="1" applyBorder="1" applyAlignment="1">
      <alignment vertical="top" wrapText="1"/>
    </xf>
    <xf numFmtId="0" fontId="4" fillId="28" borderId="66" xfId="0" applyFont="1" applyFill="1" applyBorder="1" applyAlignment="1">
      <alignment horizontal="justify" vertical="center" wrapText="1"/>
    </xf>
    <xf numFmtId="0" fontId="28" fillId="28" borderId="66" xfId="0" applyFont="1" applyFill="1" applyBorder="1" applyAlignment="1">
      <alignment vertical="center" wrapText="1"/>
    </xf>
    <xf numFmtId="0" fontId="4" fillId="28" borderId="73" xfId="0" applyFont="1" applyFill="1" applyBorder="1" applyAlignment="1">
      <alignment horizontal="justify" vertical="center" wrapText="1"/>
    </xf>
    <xf numFmtId="0" fontId="45" fillId="28" borderId="73" xfId="0" applyFont="1" applyFill="1" applyBorder="1" applyAlignment="1">
      <alignment horizontal="right" vertical="center" wrapText="1"/>
    </xf>
    <xf numFmtId="0" fontId="4" fillId="28" borderId="69" xfId="0" applyFont="1" applyFill="1" applyBorder="1" applyAlignment="1">
      <alignment horizontal="left" vertical="center" wrapText="1" indent="1"/>
    </xf>
    <xf numFmtId="0" fontId="0" fillId="28" borderId="68" xfId="0" applyFill="1" applyBorder="1" applyAlignment="1">
      <alignment horizontal="left" vertical="center" wrapText="1" indent="1"/>
    </xf>
    <xf numFmtId="0" fontId="4" fillId="28" borderId="68" xfId="0" applyFont="1" applyFill="1" applyBorder="1" applyAlignment="1">
      <alignment horizontal="left" vertical="center" wrapText="1" indent="1"/>
    </xf>
    <xf numFmtId="0" fontId="0" fillId="28" borderId="68" xfId="0" applyFill="1" applyBorder="1" applyAlignment="1">
      <alignment horizontal="left" vertical="top" wrapText="1" indent="1"/>
    </xf>
    <xf numFmtId="0" fontId="0" fillId="28" borderId="69" xfId="0" applyFill="1" applyBorder="1" applyAlignment="1">
      <alignment horizontal="left" vertical="top" wrapText="1" indent="1"/>
    </xf>
    <xf numFmtId="0" fontId="29" fillId="28" borderId="74" xfId="0" applyFont="1" applyFill="1" applyBorder="1" applyAlignment="1">
      <alignment vertical="center" wrapText="1"/>
    </xf>
    <xf numFmtId="0" fontId="29" fillId="28" borderId="74" xfId="0" applyFont="1" applyFill="1" applyBorder="1" applyAlignment="1">
      <alignment horizontal="justify" vertical="center" wrapText="1"/>
    </xf>
    <xf numFmtId="0" fontId="54" fillId="28" borderId="68" xfId="0" applyFont="1" applyFill="1" applyBorder="1" applyAlignment="1">
      <alignment horizontal="center" vertical="center" wrapText="1"/>
    </xf>
    <xf numFmtId="0" fontId="54" fillId="28" borderId="69" xfId="0" applyFont="1" applyFill="1" applyBorder="1" applyAlignment="1">
      <alignment horizontal="center" vertical="center" wrapText="1"/>
    </xf>
    <xf numFmtId="0" fontId="54" fillId="28" borderId="67" xfId="0" applyFont="1" applyFill="1" applyBorder="1" applyAlignment="1">
      <alignment horizontal="center" vertical="center" wrapText="1"/>
    </xf>
    <xf numFmtId="0" fontId="29" fillId="28" borderId="63" xfId="0" applyFont="1" applyFill="1" applyBorder="1" applyAlignment="1">
      <alignment horizontal="center" vertical="center" wrapText="1"/>
    </xf>
    <xf numFmtId="0" fontId="20" fillId="28" borderId="0" xfId="0" applyFont="1" applyFill="1" applyAlignment="1">
      <alignment horizontal="left" vertical="center"/>
    </xf>
    <xf numFmtId="0" fontId="27" fillId="28" borderId="79" xfId="0" applyFont="1" applyFill="1" applyBorder="1" applyAlignment="1">
      <alignment vertical="center" wrapText="1"/>
    </xf>
    <xf numFmtId="0" fontId="27" fillId="28" borderId="70" xfId="0" applyFont="1" applyFill="1" applyBorder="1" applyAlignment="1">
      <alignment vertical="center" wrapText="1"/>
    </xf>
    <xf numFmtId="0" fontId="27" fillId="28" borderId="71" xfId="0" applyFont="1" applyFill="1" applyBorder="1" applyAlignment="1">
      <alignment vertical="center" wrapText="1"/>
    </xf>
    <xf numFmtId="0" fontId="30" fillId="31" borderId="0" xfId="0" applyFont="1" applyFill="1" applyAlignment="1" applyProtection="1">
      <alignment horizontal="justify" vertical="center" wrapText="1"/>
      <protection locked="0"/>
    </xf>
    <xf numFmtId="0" fontId="56" fillId="31" borderId="0" xfId="0" applyFont="1" applyFill="1" applyAlignment="1" applyProtection="1">
      <alignment horizontal="justify" vertical="center" wrapText="1"/>
      <protection locked="0"/>
    </xf>
    <xf numFmtId="0" fontId="55" fillId="28" borderId="79" xfId="0" applyFont="1" applyFill="1" applyBorder="1" applyAlignment="1">
      <alignment vertical="center" wrapText="1"/>
    </xf>
    <xf numFmtId="0" fontId="55" fillId="28" borderId="70" xfId="0" applyFont="1" applyFill="1" applyBorder="1" applyAlignment="1">
      <alignment vertical="center" wrapText="1"/>
    </xf>
    <xf numFmtId="0" fontId="55" fillId="28" borderId="71" xfId="0" applyFont="1" applyFill="1" applyBorder="1" applyAlignment="1">
      <alignment vertical="center" wrapText="1"/>
    </xf>
    <xf numFmtId="0" fontId="35" fillId="28" borderId="0" xfId="0" applyFont="1" applyFill="1"/>
    <xf numFmtId="9" fontId="0" fillId="0" borderId="15" xfId="0" applyNumberFormat="1" applyBorder="1" applyAlignment="1">
      <alignment horizontal="center"/>
    </xf>
    <xf numFmtId="0" fontId="20" fillId="33" borderId="80" xfId="0" applyFont="1" applyFill="1" applyBorder="1" applyAlignment="1">
      <alignment horizontal="center" vertical="center" wrapText="1"/>
    </xf>
    <xf numFmtId="0" fontId="20" fillId="34" borderId="80" xfId="0" applyFont="1" applyFill="1" applyBorder="1" applyAlignment="1">
      <alignment horizontal="center" vertical="center" wrapText="1"/>
    </xf>
    <xf numFmtId="0" fontId="20" fillId="32" borderId="83" xfId="0" applyFont="1" applyFill="1" applyBorder="1" applyAlignment="1">
      <alignment horizontal="center" vertical="center" wrapText="1"/>
    </xf>
    <xf numFmtId="0" fontId="55" fillId="28" borderId="84" xfId="0" applyFont="1" applyFill="1" applyBorder="1" applyAlignment="1">
      <alignment vertical="center" wrapText="1"/>
    </xf>
    <xf numFmtId="0" fontId="55" fillId="28" borderId="0" xfId="0" applyFont="1" applyFill="1" applyAlignment="1">
      <alignment vertical="top" wrapText="1"/>
    </xf>
    <xf numFmtId="0" fontId="0" fillId="28" borderId="79" xfId="0" applyFill="1" applyBorder="1" applyAlignment="1">
      <alignment vertical="center"/>
    </xf>
    <xf numFmtId="0" fontId="0" fillId="28" borderId="70" xfId="0" applyFill="1" applyBorder="1" applyAlignment="1">
      <alignment vertical="center"/>
    </xf>
    <xf numFmtId="0" fontId="0" fillId="28" borderId="84" xfId="0" applyFill="1" applyBorder="1" applyAlignment="1">
      <alignment vertical="center"/>
    </xf>
    <xf numFmtId="0" fontId="0" fillId="28" borderId="72" xfId="0" applyFill="1" applyBorder="1" applyAlignment="1">
      <alignment horizontal="justify" vertical="center" wrapText="1"/>
    </xf>
    <xf numFmtId="0" fontId="0" fillId="28" borderId="0" xfId="0" applyFill="1" applyAlignment="1">
      <alignment horizontal="justify" vertical="center" wrapText="1" shrinkToFit="1"/>
    </xf>
    <xf numFmtId="0" fontId="27" fillId="28" borderId="85" xfId="0" applyFont="1" applyFill="1" applyBorder="1" applyAlignment="1">
      <alignment horizontal="center" vertical="center"/>
    </xf>
    <xf numFmtId="0" fontId="0" fillId="0" borderId="0" xfId="0" applyAlignment="1">
      <alignment horizontal="left" vertical="center" wrapText="1"/>
    </xf>
    <xf numFmtId="0" fontId="0" fillId="28" borderId="0" xfId="0" applyFill="1" applyAlignment="1">
      <alignment horizontal="left" vertical="center" wrapText="1"/>
    </xf>
    <xf numFmtId="0" fontId="58" fillId="28" borderId="0" xfId="0" applyFont="1" applyFill="1" applyAlignment="1">
      <alignment horizontal="center" vertical="center" wrapText="1"/>
    </xf>
    <xf numFmtId="0" fontId="27" fillId="30" borderId="0" xfId="0" applyFont="1" applyFill="1" applyAlignment="1">
      <alignment horizontal="center" vertical="center" wrapText="1"/>
    </xf>
    <xf numFmtId="0" fontId="21" fillId="0" borderId="0" xfId="0" applyFont="1" applyAlignment="1">
      <alignment wrapText="1"/>
    </xf>
    <xf numFmtId="0" fontId="27" fillId="30" borderId="36" xfId="0" applyFont="1" applyFill="1" applyBorder="1" applyAlignment="1">
      <alignment horizontal="center" vertical="center" wrapText="1"/>
    </xf>
    <xf numFmtId="0" fontId="0" fillId="31" borderId="10" xfId="0" applyFill="1" applyBorder="1" applyAlignment="1" applyProtection="1">
      <alignment horizontal="center"/>
      <protection locked="0"/>
    </xf>
    <xf numFmtId="164" fontId="0" fillId="31" borderId="10" xfId="0" applyNumberFormat="1" applyFill="1" applyBorder="1" applyAlignment="1" applyProtection="1">
      <alignment horizontal="center"/>
      <protection locked="0"/>
    </xf>
    <xf numFmtId="0" fontId="54" fillId="37" borderId="0" xfId="0" applyFont="1" applyFill="1" applyAlignment="1" applyProtection="1">
      <alignment horizontal="justify" vertical="center" wrapText="1"/>
      <protection locked="0"/>
    </xf>
    <xf numFmtId="0" fontId="0" fillId="28" borderId="74" xfId="0" applyFill="1" applyBorder="1"/>
    <xf numFmtId="0" fontId="59" fillId="38" borderId="16" xfId="0" applyFont="1" applyFill="1" applyBorder="1" applyAlignment="1">
      <alignment horizontal="center"/>
    </xf>
    <xf numFmtId="0" fontId="59" fillId="38" borderId="23" xfId="0" applyFont="1" applyFill="1" applyBorder="1" applyAlignment="1">
      <alignment horizontal="center"/>
    </xf>
    <xf numFmtId="0" fontId="27" fillId="28" borderId="0" xfId="0" applyFont="1" applyFill="1"/>
    <xf numFmtId="0" fontId="0" fillId="0" borderId="12" xfId="0" applyBorder="1" applyAlignment="1">
      <alignment horizontal="center"/>
    </xf>
    <xf numFmtId="0" fontId="0" fillId="28" borderId="0" xfId="0" applyFill="1" applyAlignment="1">
      <alignment wrapText="1"/>
    </xf>
    <xf numFmtId="0" fontId="0" fillId="0" borderId="15" xfId="0" applyBorder="1" applyAlignment="1">
      <alignment horizontal="center"/>
    </xf>
    <xf numFmtId="165" fontId="27" fillId="0" borderId="0" xfId="0" applyNumberFormat="1" applyFont="1" applyAlignment="1">
      <alignment horizontal="left"/>
    </xf>
    <xf numFmtId="165" fontId="0" fillId="0" borderId="0" xfId="0" applyNumberFormat="1" applyAlignment="1">
      <alignment horizontal="right"/>
    </xf>
    <xf numFmtId="0" fontId="41" fillId="0" borderId="37" xfId="0" applyFont="1" applyBorder="1" applyAlignment="1">
      <alignment horizontal="left" vertical="center"/>
    </xf>
    <xf numFmtId="165" fontId="0" fillId="0" borderId="16" xfId="0" applyNumberFormat="1" applyBorder="1"/>
    <xf numFmtId="0" fontId="42" fillId="0" borderId="17" xfId="0" applyFont="1" applyBorder="1" applyAlignment="1">
      <alignment horizontal="right" vertical="center"/>
    </xf>
    <xf numFmtId="0" fontId="42" fillId="0" borderId="17" xfId="0" applyFont="1" applyBorder="1" applyAlignment="1">
      <alignment horizontal="left" vertical="center"/>
    </xf>
    <xf numFmtId="165" fontId="0" fillId="0" borderId="23" xfId="0" applyNumberFormat="1" applyBorder="1"/>
    <xf numFmtId="0" fontId="42" fillId="0" borderId="11" xfId="0" applyFont="1" applyBorder="1" applyAlignment="1">
      <alignment horizontal="center" vertical="center"/>
    </xf>
    <xf numFmtId="0" fontId="42" fillId="0" borderId="10" xfId="0" applyFont="1" applyBorder="1" applyAlignment="1">
      <alignment horizontal="right" vertical="center"/>
    </xf>
    <xf numFmtId="0" fontId="42" fillId="0" borderId="10" xfId="0" applyFont="1" applyBorder="1" applyAlignment="1">
      <alignment horizontal="left" vertical="center"/>
    </xf>
    <xf numFmtId="0" fontId="42" fillId="0" borderId="12" xfId="0" applyFont="1" applyBorder="1" applyAlignment="1">
      <alignment horizontal="left" vertical="center"/>
    </xf>
    <xf numFmtId="165" fontId="0" fillId="0" borderId="10" xfId="0" applyNumberFormat="1" applyBorder="1"/>
    <xf numFmtId="0" fontId="42" fillId="0" borderId="13" xfId="0" applyFont="1" applyBorder="1" applyAlignment="1">
      <alignment horizontal="center" vertical="center"/>
    </xf>
    <xf numFmtId="0" fontId="42" fillId="0" borderId="14" xfId="0" applyFont="1" applyBorder="1" applyAlignment="1">
      <alignment horizontal="right" vertical="center"/>
    </xf>
    <xf numFmtId="165" fontId="0" fillId="0" borderId="14" xfId="0" applyNumberFormat="1" applyBorder="1"/>
    <xf numFmtId="165" fontId="0" fillId="0" borderId="15" xfId="0" applyNumberFormat="1" applyBorder="1"/>
    <xf numFmtId="165" fontId="0" fillId="0" borderId="38" xfId="0" applyNumberFormat="1" applyBorder="1" applyAlignment="1">
      <alignment horizontal="right"/>
    </xf>
    <xf numFmtId="0" fontId="42" fillId="0" borderId="16" xfId="0" applyFont="1" applyBorder="1" applyAlignment="1">
      <alignment horizontal="center" vertical="center"/>
    </xf>
    <xf numFmtId="0" fontId="42" fillId="0" borderId="23" xfId="0" applyFont="1" applyBorder="1" applyAlignment="1">
      <alignment horizontal="left" vertical="center"/>
    </xf>
    <xf numFmtId="0" fontId="42" fillId="0" borderId="12" xfId="0" applyFont="1" applyBorder="1" applyAlignment="1">
      <alignment horizontal="center" vertical="center"/>
    </xf>
    <xf numFmtId="0" fontId="42" fillId="0" borderId="13" xfId="0" applyFont="1" applyBorder="1" applyAlignment="1">
      <alignment horizontal="right" vertical="center"/>
    </xf>
    <xf numFmtId="0" fontId="42" fillId="0" borderId="15" xfId="0" applyFont="1" applyBorder="1" applyAlignment="1">
      <alignment horizontal="center" vertical="center"/>
    </xf>
    <xf numFmtId="0" fontId="42" fillId="0" borderId="16" xfId="0" applyFont="1" applyBorder="1" applyAlignment="1">
      <alignment horizontal="left" vertical="center"/>
    </xf>
    <xf numFmtId="0" fontId="42" fillId="0" borderId="11" xfId="0" applyFont="1" applyBorder="1" applyAlignment="1">
      <alignment horizontal="left" vertical="center"/>
    </xf>
    <xf numFmtId="165" fontId="0" fillId="0" borderId="11" xfId="0" applyNumberFormat="1" applyBorder="1"/>
    <xf numFmtId="0" fontId="42" fillId="0" borderId="11" xfId="0" applyFont="1" applyBorder="1" applyAlignment="1">
      <alignment horizontal="right" vertical="center"/>
    </xf>
    <xf numFmtId="0" fontId="42" fillId="0" borderId="13" xfId="0" applyFont="1" applyBorder="1" applyAlignment="1">
      <alignment horizontal="left" vertical="center"/>
    </xf>
    <xf numFmtId="0" fontId="42" fillId="0" borderId="15" xfId="0" applyFont="1" applyBorder="1" applyAlignment="1">
      <alignment horizontal="left" vertical="center"/>
    </xf>
    <xf numFmtId="0" fontId="42" fillId="0" borderId="39" xfId="0" applyFont="1" applyBorder="1" applyAlignment="1">
      <alignment horizontal="left" vertical="center"/>
    </xf>
    <xf numFmtId="0" fontId="42" fillId="0" borderId="40" xfId="0" applyFont="1" applyBorder="1" applyAlignment="1">
      <alignment horizontal="left" vertical="center"/>
    </xf>
    <xf numFmtId="165" fontId="0" fillId="0" borderId="40" xfId="0" applyNumberFormat="1" applyBorder="1"/>
    <xf numFmtId="165" fontId="0" fillId="0" borderId="41" xfId="0" applyNumberFormat="1" applyBorder="1"/>
    <xf numFmtId="0" fontId="4" fillId="31" borderId="63" xfId="0" applyFont="1" applyFill="1" applyBorder="1" applyAlignment="1" applyProtection="1">
      <alignment horizontal="center" vertical="top" wrapText="1"/>
      <protection locked="0"/>
    </xf>
    <xf numFmtId="0" fontId="4" fillId="31" borderId="79" xfId="0" applyFont="1" applyFill="1" applyBorder="1" applyAlignment="1">
      <alignment horizontal="center" vertical="top" wrapText="1"/>
    </xf>
    <xf numFmtId="0" fontId="4" fillId="31" borderId="70" xfId="0" applyFont="1" applyFill="1" applyBorder="1" applyAlignment="1" applyProtection="1">
      <alignment horizontal="justify" vertical="top" wrapText="1"/>
      <protection locked="0"/>
    </xf>
    <xf numFmtId="0" fontId="4" fillId="31" borderId="71" xfId="0" applyFont="1" applyFill="1" applyBorder="1" applyAlignment="1">
      <alignment vertical="top" wrapText="1"/>
    </xf>
    <xf numFmtId="0" fontId="4" fillId="31" borderId="79" xfId="0" applyFont="1" applyFill="1" applyBorder="1" applyAlignment="1">
      <alignment vertical="top" wrapText="1"/>
    </xf>
    <xf numFmtId="0" fontId="4" fillId="31" borderId="70" xfId="0" applyFont="1" applyFill="1" applyBorder="1" applyAlignment="1">
      <alignment horizontal="center" vertical="top" wrapText="1"/>
    </xf>
    <xf numFmtId="0" fontId="0" fillId="31" borderId="71" xfId="0" applyFill="1" applyBorder="1" applyAlignment="1">
      <alignment vertical="top"/>
    </xf>
    <xf numFmtId="0" fontId="0" fillId="28" borderId="73" xfId="0" applyFill="1" applyBorder="1" applyAlignment="1">
      <alignment horizontal="justify" vertical="center" wrapText="1"/>
    </xf>
    <xf numFmtId="0" fontId="0" fillId="28" borderId="74" xfId="0" applyFill="1" applyBorder="1" applyAlignment="1">
      <alignment horizontal="right" vertical="center" wrapText="1"/>
    </xf>
    <xf numFmtId="0" fontId="27" fillId="28" borderId="74" xfId="0" applyFont="1" applyFill="1" applyBorder="1" applyAlignment="1">
      <alignment horizontal="right" vertical="center" wrapText="1"/>
    </xf>
    <xf numFmtId="0" fontId="27" fillId="28" borderId="76" xfId="0" applyFont="1" applyFill="1" applyBorder="1" applyAlignment="1">
      <alignment horizontal="center" vertical="center"/>
    </xf>
    <xf numFmtId="0" fontId="54" fillId="28" borderId="86" xfId="0" applyFont="1" applyFill="1" applyBorder="1" applyAlignment="1">
      <alignment vertical="center" wrapText="1"/>
    </xf>
    <xf numFmtId="0" fontId="54" fillId="28" borderId="71" xfId="0" applyFont="1" applyFill="1" applyBorder="1" applyAlignment="1">
      <alignment horizontal="center" vertical="center" wrapText="1"/>
    </xf>
    <xf numFmtId="0" fontId="54" fillId="28" borderId="86" xfId="0" applyFont="1" applyFill="1" applyBorder="1" applyAlignment="1">
      <alignment horizontal="center" vertical="center" wrapText="1"/>
    </xf>
    <xf numFmtId="0" fontId="55" fillId="28" borderId="84" xfId="0" applyFont="1" applyFill="1" applyBorder="1" applyAlignment="1">
      <alignment horizontal="center" vertical="center" wrapText="1"/>
    </xf>
    <xf numFmtId="0" fontId="0" fillId="28" borderId="84" xfId="0" applyFill="1" applyBorder="1" applyAlignment="1">
      <alignment horizontal="center" vertical="center"/>
    </xf>
    <xf numFmtId="0" fontId="55" fillId="28" borderId="63" xfId="0" applyFont="1" applyFill="1" applyBorder="1" applyAlignment="1">
      <alignment horizontal="center" vertical="center" wrapText="1"/>
    </xf>
    <xf numFmtId="0" fontId="4" fillId="28" borderId="63" xfId="0" applyFont="1" applyFill="1" applyBorder="1" applyAlignment="1">
      <alignment horizontal="center" vertical="center" wrapText="1"/>
    </xf>
    <xf numFmtId="0" fontId="57" fillId="29" borderId="33" xfId="0" applyFont="1" applyFill="1" applyBorder="1" applyAlignment="1">
      <alignment vertical="center" wrapText="1"/>
    </xf>
    <xf numFmtId="0" fontId="54" fillId="28" borderId="63" xfId="0" applyFont="1" applyFill="1" applyBorder="1" applyAlignment="1">
      <alignment horizontal="center" vertical="center" wrapText="1"/>
    </xf>
    <xf numFmtId="0" fontId="22" fillId="28" borderId="0" xfId="0" applyFont="1" applyFill="1" applyAlignment="1">
      <alignment horizontal="right"/>
    </xf>
    <xf numFmtId="0" fontId="22" fillId="0" borderId="0" xfId="0" applyFont="1"/>
    <xf numFmtId="0" fontId="4" fillId="30" borderId="63" xfId="0" applyFont="1" applyFill="1" applyBorder="1" applyAlignment="1">
      <alignment horizontal="center" vertical="center" wrapText="1"/>
    </xf>
    <xf numFmtId="9" fontId="4" fillId="30" borderId="63" xfId="0" applyNumberFormat="1" applyFont="1" applyFill="1" applyBorder="1" applyAlignment="1">
      <alignment horizontal="center" vertical="center" wrapText="1"/>
    </xf>
    <xf numFmtId="165" fontId="4" fillId="30" borderId="63" xfId="0" applyNumberFormat="1" applyFont="1" applyFill="1" applyBorder="1" applyAlignment="1">
      <alignment horizontal="center" vertical="center" wrapText="1"/>
    </xf>
    <xf numFmtId="0" fontId="35" fillId="30" borderId="63" xfId="0" applyFont="1" applyFill="1" applyBorder="1" applyAlignment="1">
      <alignment horizontal="center" vertical="center" wrapText="1"/>
    </xf>
    <xf numFmtId="9" fontId="35" fillId="30" borderId="63" xfId="0" applyNumberFormat="1" applyFont="1" applyFill="1" applyBorder="1" applyAlignment="1">
      <alignment horizontal="center" vertical="center" wrapText="1"/>
    </xf>
    <xf numFmtId="165" fontId="35" fillId="30" borderId="63" xfId="0" applyNumberFormat="1" applyFont="1" applyFill="1" applyBorder="1" applyAlignment="1">
      <alignment horizontal="center" vertical="center" wrapText="1"/>
    </xf>
    <xf numFmtId="0" fontId="35" fillId="30" borderId="69" xfId="0" applyFont="1" applyFill="1" applyBorder="1" applyAlignment="1">
      <alignment horizontal="center" vertical="center" wrapText="1"/>
    </xf>
    <xf numFmtId="9" fontId="35" fillId="30" borderId="69" xfId="0" applyNumberFormat="1" applyFont="1" applyFill="1" applyBorder="1" applyAlignment="1">
      <alignment horizontal="center" vertical="center" wrapText="1"/>
    </xf>
    <xf numFmtId="165" fontId="35" fillId="30" borderId="69" xfId="0" applyNumberFormat="1" applyFont="1" applyFill="1" applyBorder="1" applyAlignment="1">
      <alignment horizontal="center" vertical="center" wrapText="1"/>
    </xf>
    <xf numFmtId="0" fontId="57" fillId="35" borderId="87" xfId="0" applyFont="1" applyFill="1" applyBorder="1" applyAlignment="1">
      <alignment horizontal="center" vertical="center" wrapText="1"/>
    </xf>
    <xf numFmtId="0" fontId="57" fillId="29" borderId="58" xfId="0" applyFont="1" applyFill="1" applyBorder="1" applyAlignment="1">
      <alignment horizontal="center" vertical="center" wrapText="1"/>
    </xf>
    <xf numFmtId="0" fontId="20" fillId="36" borderId="88" xfId="0" applyFont="1" applyFill="1" applyBorder="1" applyAlignment="1">
      <alignment horizontal="center" vertical="center" wrapText="1"/>
    </xf>
    <xf numFmtId="0" fontId="4" fillId="30" borderId="69" xfId="0" applyFont="1" applyFill="1" applyBorder="1" applyAlignment="1">
      <alignment horizontal="center" vertical="center" wrapText="1"/>
    </xf>
    <xf numFmtId="9" fontId="4" fillId="30" borderId="69" xfId="0" applyNumberFormat="1" applyFont="1" applyFill="1" applyBorder="1" applyAlignment="1">
      <alignment horizontal="center" vertical="center" wrapText="1"/>
    </xf>
    <xf numFmtId="165" fontId="4" fillId="30" borderId="69" xfId="0" applyNumberFormat="1" applyFont="1" applyFill="1" applyBorder="1" applyAlignment="1">
      <alignment horizontal="center" vertical="center" wrapText="1"/>
    </xf>
    <xf numFmtId="0" fontId="44" fillId="24" borderId="33" xfId="0" applyFont="1" applyFill="1" applyBorder="1" applyAlignment="1">
      <alignment horizontal="center" vertical="center" wrapText="1"/>
    </xf>
    <xf numFmtId="0" fontId="4" fillId="31" borderId="69" xfId="0" applyFont="1" applyFill="1" applyBorder="1" applyAlignment="1" applyProtection="1">
      <alignment horizontal="center" vertical="top" wrapText="1"/>
      <protection locked="0"/>
    </xf>
    <xf numFmtId="0" fontId="4" fillId="31" borderId="66" xfId="0" applyFont="1" applyFill="1" applyBorder="1" applyAlignment="1">
      <alignment horizontal="center" vertical="top" wrapText="1"/>
    </xf>
    <xf numFmtId="0" fontId="0" fillId="31" borderId="73" xfId="0" applyFill="1" applyBorder="1" applyAlignment="1">
      <alignment vertical="top"/>
    </xf>
    <xf numFmtId="0" fontId="60" fillId="29" borderId="89" xfId="0" applyFont="1" applyFill="1" applyBorder="1" applyAlignment="1">
      <alignment horizontal="center" vertical="center" wrapText="1"/>
    </xf>
    <xf numFmtId="0" fontId="4" fillId="31" borderId="78" xfId="0" applyFont="1" applyFill="1" applyBorder="1" applyAlignment="1">
      <alignment horizontal="center" vertical="top" wrapText="1"/>
    </xf>
    <xf numFmtId="0" fontId="4" fillId="31" borderId="66" xfId="0" applyFont="1" applyFill="1" applyBorder="1" applyAlignment="1" applyProtection="1">
      <alignment horizontal="justify" vertical="top" wrapText="1"/>
      <protection locked="0"/>
    </xf>
    <xf numFmtId="0" fontId="4" fillId="31" borderId="73" xfId="0" applyFont="1" applyFill="1" applyBorder="1" applyAlignment="1">
      <alignment vertical="top" wrapText="1"/>
    </xf>
    <xf numFmtId="0" fontId="4" fillId="31" borderId="78" xfId="0" applyFont="1" applyFill="1" applyBorder="1" applyAlignment="1">
      <alignment vertical="top" wrapText="1"/>
    </xf>
    <xf numFmtId="0" fontId="60" fillId="29" borderId="42" xfId="0" applyFont="1" applyFill="1" applyBorder="1" applyAlignment="1">
      <alignment horizontal="center" vertical="center" wrapText="1"/>
    </xf>
    <xf numFmtId="0" fontId="60" fillId="29" borderId="90" xfId="0" applyFont="1" applyFill="1" applyBorder="1" applyAlignment="1">
      <alignment horizontal="center" vertical="center" wrapText="1"/>
    </xf>
    <xf numFmtId="0" fontId="60" fillId="29" borderId="42" xfId="0" applyFont="1" applyFill="1" applyBorder="1" applyAlignment="1">
      <alignment vertical="center" wrapText="1"/>
    </xf>
    <xf numFmtId="0" fontId="60" fillId="29" borderId="43" xfId="0" applyFont="1" applyFill="1" applyBorder="1" applyAlignment="1">
      <alignment horizontal="center" vertical="center" wrapText="1"/>
    </xf>
    <xf numFmtId="0" fontId="57" fillId="29" borderId="91" xfId="0" applyFont="1" applyFill="1" applyBorder="1" applyAlignment="1">
      <alignment vertical="center" wrapText="1"/>
    </xf>
    <xf numFmtId="0" fontId="57" fillId="35" borderId="62" xfId="0" applyFont="1" applyFill="1" applyBorder="1" applyAlignment="1">
      <alignment horizontal="center" vertical="center" wrapText="1"/>
    </xf>
    <xf numFmtId="0" fontId="54" fillId="28" borderId="69" xfId="0" applyFont="1" applyFill="1" applyBorder="1" applyAlignment="1">
      <alignment vertical="top" wrapText="1"/>
    </xf>
    <xf numFmtId="0" fontId="54" fillId="28" borderId="70" xfId="0" applyFont="1" applyFill="1" applyBorder="1" applyAlignment="1">
      <alignment horizontal="left" vertical="center" wrapText="1"/>
    </xf>
    <xf numFmtId="0" fontId="0" fillId="28" borderId="74" xfId="0" applyFill="1" applyBorder="1" applyAlignment="1">
      <alignment vertical="top" wrapText="1"/>
    </xf>
    <xf numFmtId="0" fontId="56" fillId="28" borderId="74" xfId="0" applyFont="1" applyFill="1" applyBorder="1" applyAlignment="1">
      <alignment horizontal="right" vertical="center" wrapText="1"/>
    </xf>
    <xf numFmtId="0" fontId="56" fillId="28" borderId="75" xfId="0" applyFont="1" applyFill="1" applyBorder="1" applyAlignment="1">
      <alignment horizontal="right" vertical="center" wrapText="1"/>
    </xf>
    <xf numFmtId="0" fontId="54" fillId="0" borderId="74" xfId="0" applyFont="1" applyBorder="1" applyAlignment="1">
      <alignment horizontal="justify" vertical="center" wrapText="1"/>
    </xf>
    <xf numFmtId="0" fontId="57" fillId="29" borderId="44" xfId="0" applyFont="1" applyFill="1" applyBorder="1" applyAlignment="1">
      <alignment horizontal="center" vertical="center" wrapText="1"/>
    </xf>
    <xf numFmtId="0" fontId="54" fillId="28" borderId="92" xfId="0" applyFont="1" applyFill="1" applyBorder="1" applyAlignment="1">
      <alignment horizontal="left" vertical="center" wrapText="1"/>
    </xf>
    <xf numFmtId="0" fontId="0" fillId="28" borderId="71" xfId="0" applyFill="1" applyBorder="1" applyAlignment="1">
      <alignment horizontal="justify" vertical="center" wrapText="1"/>
    </xf>
    <xf numFmtId="0" fontId="54" fillId="28" borderId="93" xfId="0" applyFont="1" applyFill="1" applyBorder="1" applyAlignment="1">
      <alignment horizontal="left" vertical="center" wrapText="1"/>
    </xf>
    <xf numFmtId="0" fontId="0" fillId="28" borderId="74" xfId="0" applyFill="1" applyBorder="1" applyAlignment="1">
      <alignment horizontal="justify" vertical="center" wrapText="1"/>
    </xf>
    <xf numFmtId="0" fontId="54" fillId="28" borderId="94" xfId="0" applyFont="1" applyFill="1" applyBorder="1" applyAlignment="1">
      <alignment horizontal="left" vertical="center" wrapText="1"/>
    </xf>
    <xf numFmtId="0" fontId="54" fillId="28" borderId="95" xfId="0" applyFont="1" applyFill="1" applyBorder="1" applyAlignment="1">
      <alignment horizontal="left" vertical="center" wrapText="1"/>
    </xf>
    <xf numFmtId="0" fontId="27" fillId="30" borderId="94" xfId="0" applyFont="1" applyFill="1" applyBorder="1" applyAlignment="1">
      <alignment horizontal="center" vertical="center" wrapText="1"/>
    </xf>
    <xf numFmtId="0" fontId="55" fillId="28" borderId="94" xfId="0" applyFont="1" applyFill="1" applyBorder="1" applyAlignment="1">
      <alignment horizontal="left" vertical="center" wrapText="1"/>
    </xf>
    <xf numFmtId="0" fontId="0" fillId="28" borderId="94" xfId="0" applyFill="1" applyBorder="1" applyAlignment="1">
      <alignment horizontal="left" vertical="top" wrapText="1"/>
    </xf>
    <xf numFmtId="0" fontId="0" fillId="28" borderId="95" xfId="0" applyFill="1" applyBorder="1" applyAlignment="1">
      <alignment horizontal="left" vertical="top" wrapText="1"/>
    </xf>
    <xf numFmtId="0" fontId="55" fillId="28" borderId="94" xfId="0" applyFont="1" applyFill="1" applyBorder="1" applyAlignment="1">
      <alignment vertical="top" wrapText="1"/>
    </xf>
    <xf numFmtId="0" fontId="55" fillId="28" borderId="95" xfId="0" applyFont="1" applyFill="1" applyBorder="1" applyAlignment="1">
      <alignment horizontal="left" vertical="center" wrapText="1"/>
    </xf>
    <xf numFmtId="0" fontId="0" fillId="28" borderId="66" xfId="0" applyFill="1" applyBorder="1" applyAlignment="1">
      <alignment vertical="center" wrapText="1"/>
    </xf>
    <xf numFmtId="0" fontId="0" fillId="28" borderId="73" xfId="0" applyFill="1" applyBorder="1" applyAlignment="1">
      <alignment vertical="center" wrapText="1"/>
    </xf>
    <xf numFmtId="0" fontId="27" fillId="28" borderId="93" xfId="0" applyFont="1" applyFill="1" applyBorder="1" applyAlignment="1">
      <alignment horizontal="left" vertical="center" wrapText="1"/>
    </xf>
    <xf numFmtId="0" fontId="27" fillId="28" borderId="74" xfId="0" applyFont="1" applyFill="1" applyBorder="1" applyAlignment="1">
      <alignment vertical="center" wrapText="1"/>
    </xf>
    <xf numFmtId="0" fontId="27" fillId="28" borderId="74" xfId="0" applyFont="1" applyFill="1" applyBorder="1" applyAlignment="1">
      <alignment horizontal="justify" vertical="center" wrapText="1"/>
    </xf>
    <xf numFmtId="0" fontId="0" fillId="28" borderId="74" xfId="0" applyFill="1" applyBorder="1" applyAlignment="1">
      <alignment vertical="center" wrapText="1"/>
    </xf>
    <xf numFmtId="0" fontId="0" fillId="28" borderId="71" xfId="0" applyFill="1" applyBorder="1" applyAlignment="1">
      <alignment vertical="center" wrapText="1"/>
    </xf>
    <xf numFmtId="0" fontId="0" fillId="28" borderId="66" xfId="0" applyFill="1" applyBorder="1" applyAlignment="1">
      <alignment horizontal="right" vertical="center" wrapText="1"/>
    </xf>
    <xf numFmtId="0" fontId="57" fillId="29" borderId="45" xfId="0" applyFont="1" applyFill="1" applyBorder="1" applyAlignment="1">
      <alignment horizontal="center" vertical="center" wrapText="1"/>
    </xf>
    <xf numFmtId="0" fontId="0" fillId="28" borderId="76" xfId="0" applyFill="1" applyBorder="1"/>
    <xf numFmtId="0" fontId="54" fillId="28" borderId="67" xfId="0" applyFont="1" applyFill="1" applyBorder="1" applyAlignment="1">
      <alignment vertical="center" wrapText="1"/>
    </xf>
    <xf numFmtId="0" fontId="54" fillId="28" borderId="67" xfId="0" applyFont="1" applyFill="1" applyBorder="1" applyAlignment="1">
      <alignment horizontal="left" vertical="center" wrapText="1" indent="1"/>
    </xf>
    <xf numFmtId="0" fontId="28" fillId="28" borderId="74" xfId="0" applyFont="1" applyFill="1" applyBorder="1" applyAlignment="1">
      <alignment horizontal="justify" vertical="center" wrapText="1"/>
    </xf>
    <xf numFmtId="0" fontId="45" fillId="28" borderId="74" xfId="0" applyFont="1" applyFill="1" applyBorder="1" applyAlignment="1">
      <alignment horizontal="justify" vertical="center" wrapText="1"/>
    </xf>
    <xf numFmtId="0" fontId="30" fillId="28" borderId="75" xfId="0" applyFont="1" applyFill="1" applyBorder="1" applyAlignment="1">
      <alignment horizontal="justify" vertical="center" wrapText="1"/>
    </xf>
    <xf numFmtId="0" fontId="30" fillId="28" borderId="74" xfId="0" applyFont="1" applyFill="1" applyBorder="1" applyAlignment="1">
      <alignment horizontal="justify" vertical="center" wrapText="1"/>
    </xf>
    <xf numFmtId="0" fontId="27" fillId="28" borderId="67" xfId="0" applyFont="1" applyFill="1" applyBorder="1" applyAlignment="1">
      <alignment horizontal="left" vertical="center" wrapText="1" indent="1"/>
    </xf>
    <xf numFmtId="0" fontId="28" fillId="28" borderId="74" xfId="0" applyFont="1" applyFill="1" applyBorder="1" applyAlignment="1">
      <alignment vertical="center" wrapText="1"/>
    </xf>
    <xf numFmtId="0" fontId="4" fillId="28" borderId="74" xfId="0" applyFont="1" applyFill="1" applyBorder="1" applyAlignment="1">
      <alignment horizontal="justify" vertical="center" wrapText="1"/>
    </xf>
    <xf numFmtId="0" fontId="55" fillId="28" borderId="68" xfId="0" applyFont="1" applyFill="1" applyBorder="1" applyAlignment="1">
      <alignment horizontal="left" vertical="top" wrapText="1"/>
    </xf>
    <xf numFmtId="0" fontId="55" fillId="28" borderId="77" xfId="0" applyFont="1" applyFill="1" applyBorder="1" applyAlignment="1">
      <alignment horizontal="left" vertical="top" wrapText="1"/>
    </xf>
    <xf numFmtId="0" fontId="4" fillId="28" borderId="77" xfId="0" applyFont="1" applyFill="1" applyBorder="1" applyAlignment="1">
      <alignment horizontal="left" vertical="top" wrapText="1"/>
    </xf>
    <xf numFmtId="0" fontId="55" fillId="28" borderId="77" xfId="0" applyFont="1" applyFill="1" applyBorder="1" applyAlignment="1">
      <alignment horizontal="justify" vertical="top" wrapText="1"/>
    </xf>
    <xf numFmtId="0" fontId="55" fillId="28" borderId="94" xfId="0" applyFont="1" applyFill="1" applyBorder="1" applyAlignment="1">
      <alignment horizontal="left" vertical="top" wrapText="1"/>
    </xf>
    <xf numFmtId="0" fontId="55" fillId="28" borderId="96" xfId="0" applyFont="1" applyFill="1" applyBorder="1" applyAlignment="1">
      <alignment vertical="center" wrapText="1"/>
    </xf>
    <xf numFmtId="0" fontId="4" fillId="28" borderId="94" xfId="0" applyFont="1" applyFill="1" applyBorder="1" applyAlignment="1">
      <alignment horizontal="left" vertical="top" wrapText="1"/>
    </xf>
    <xf numFmtId="0" fontId="30" fillId="0" borderId="66" xfId="0" applyFont="1" applyBorder="1" applyAlignment="1">
      <alignment horizontal="justify" vertical="center" wrapText="1"/>
    </xf>
    <xf numFmtId="0" fontId="35" fillId="39" borderId="0" xfId="0" applyFont="1" applyFill="1"/>
    <xf numFmtId="0" fontId="35" fillId="39" borderId="0" xfId="0" applyFont="1" applyFill="1" applyAlignment="1">
      <alignment horizontal="right"/>
    </xf>
    <xf numFmtId="0" fontId="35" fillId="39" borderId="46" xfId="0" applyFont="1" applyFill="1" applyBorder="1"/>
    <xf numFmtId="0" fontId="35" fillId="39" borderId="46" xfId="0" applyFont="1" applyFill="1" applyBorder="1" applyAlignment="1">
      <alignment horizontal="right"/>
    </xf>
    <xf numFmtId="0" fontId="22" fillId="39" borderId="0" xfId="0" applyFont="1" applyFill="1"/>
    <xf numFmtId="0" fontId="22" fillId="39" borderId="0" xfId="0" applyFont="1" applyFill="1" applyAlignment="1">
      <alignment horizontal="right"/>
    </xf>
    <xf numFmtId="0" fontId="47" fillId="39" borderId="0" xfId="0" applyFont="1" applyFill="1" applyAlignment="1">
      <alignment horizontal="center" vertical="center" wrapText="1"/>
    </xf>
    <xf numFmtId="0" fontId="22" fillId="39" borderId="0" xfId="0" applyFont="1" applyFill="1" applyAlignment="1">
      <alignment horizontal="center" vertical="center"/>
    </xf>
    <xf numFmtId="0" fontId="22" fillId="39" borderId="0" xfId="0" applyFont="1" applyFill="1" applyAlignment="1">
      <alignment horizontal="right" vertical="center"/>
    </xf>
    <xf numFmtId="165" fontId="42" fillId="35" borderId="14" xfId="0" quotePrefix="1" applyNumberFormat="1" applyFont="1" applyFill="1" applyBorder="1" applyAlignment="1">
      <alignment horizontal="center" vertical="center"/>
    </xf>
    <xf numFmtId="9" fontId="42" fillId="35" borderId="14" xfId="19" applyFont="1" applyFill="1" applyBorder="1" applyAlignment="1">
      <alignment horizontal="center" vertical="center" wrapText="1"/>
    </xf>
    <xf numFmtId="0" fontId="27" fillId="28" borderId="47" xfId="0" applyFont="1" applyFill="1" applyBorder="1" applyAlignment="1">
      <alignment horizontal="center"/>
    </xf>
    <xf numFmtId="164" fontId="0" fillId="28" borderId="15" xfId="0" applyNumberFormat="1" applyFill="1" applyBorder="1" applyAlignment="1">
      <alignment horizontal="center"/>
    </xf>
    <xf numFmtId="0" fontId="0" fillId="28" borderId="48" xfId="0" applyFill="1" applyBorder="1"/>
    <xf numFmtId="0" fontId="54" fillId="28" borderId="0" xfId="0" applyFont="1" applyFill="1" applyAlignment="1" applyProtection="1">
      <alignment horizontal="justify" vertical="center" wrapText="1"/>
      <protection locked="0"/>
    </xf>
    <xf numFmtId="9" fontId="49" fillId="0" borderId="12" xfId="0" applyNumberFormat="1" applyFont="1" applyBorder="1" applyAlignment="1">
      <alignment horizontal="center" vertical="center" wrapText="1"/>
    </xf>
    <xf numFmtId="9" fontId="49" fillId="0" borderId="29" xfId="0" applyNumberFormat="1" applyFont="1" applyBorder="1" applyAlignment="1">
      <alignment horizontal="center" vertical="center" wrapText="1"/>
    </xf>
    <xf numFmtId="9" fontId="49" fillId="0" borderId="15" xfId="0" applyNumberFormat="1" applyFont="1" applyBorder="1" applyAlignment="1">
      <alignment horizontal="center" vertical="center" wrapText="1"/>
    </xf>
    <xf numFmtId="0" fontId="65" fillId="0" borderId="0" xfId="0" applyFont="1"/>
    <xf numFmtId="0" fontId="66" fillId="0" borderId="0" xfId="0" applyFont="1" applyAlignment="1">
      <alignment wrapText="1"/>
    </xf>
    <xf numFmtId="0" fontId="65" fillId="31" borderId="0" xfId="0" applyFont="1" applyFill="1"/>
    <xf numFmtId="0" fontId="66" fillId="31" borderId="0" xfId="0" applyFont="1" applyFill="1" applyAlignment="1">
      <alignment wrapText="1"/>
    </xf>
    <xf numFmtId="0" fontId="65" fillId="0" borderId="0" xfId="0" applyFont="1" applyAlignment="1">
      <alignment wrapText="1"/>
    </xf>
    <xf numFmtId="0" fontId="30" fillId="28" borderId="72" xfId="0" applyFont="1" applyFill="1" applyBorder="1" applyAlignment="1">
      <alignment horizontal="left" vertical="center" wrapText="1"/>
    </xf>
    <xf numFmtId="0" fontId="4" fillId="28" borderId="68" xfId="0" applyFont="1" applyFill="1" applyBorder="1" applyAlignment="1">
      <alignment horizontal="left" vertical="top" wrapText="1" indent="1"/>
    </xf>
    <xf numFmtId="168" fontId="49" fillId="0" borderId="28" xfId="0" applyNumberFormat="1" applyFont="1" applyBorder="1" applyAlignment="1">
      <alignment horizontal="center" vertical="center"/>
    </xf>
    <xf numFmtId="168" fontId="49" fillId="0" borderId="10" xfId="0" applyNumberFormat="1" applyFont="1" applyBorder="1" applyAlignment="1">
      <alignment horizontal="center" vertical="center"/>
    </xf>
    <xf numFmtId="168" fontId="49" fillId="0" borderId="14" xfId="0" applyNumberFormat="1" applyFont="1" applyBorder="1" applyAlignment="1">
      <alignment horizontal="center" vertical="center"/>
    </xf>
    <xf numFmtId="0" fontId="61" fillId="28" borderId="40" xfId="0" applyFont="1" applyFill="1" applyBorder="1" applyAlignment="1">
      <alignment horizontal="left" vertical="center" wrapText="1"/>
    </xf>
    <xf numFmtId="0" fontId="61" fillId="28" borderId="43" xfId="0" applyFont="1" applyFill="1" applyBorder="1" applyAlignment="1">
      <alignment horizontal="left" vertical="center" wrapText="1"/>
    </xf>
    <xf numFmtId="0" fontId="53" fillId="28" borderId="40" xfId="0" applyFont="1" applyFill="1" applyBorder="1" applyAlignment="1" applyProtection="1">
      <alignment horizontal="left" vertical="center" wrapText="1"/>
      <protection locked="0"/>
    </xf>
    <xf numFmtId="0" fontId="53" fillId="28" borderId="42" xfId="0" applyFont="1" applyFill="1" applyBorder="1" applyAlignment="1" applyProtection="1">
      <alignment horizontal="left" vertical="center" wrapText="1"/>
      <protection locked="0"/>
    </xf>
    <xf numFmtId="0" fontId="53" fillId="28" borderId="43" xfId="0" applyFont="1" applyFill="1" applyBorder="1" applyAlignment="1" applyProtection="1">
      <alignment horizontal="left" vertical="center" wrapText="1"/>
      <protection locked="0"/>
    </xf>
    <xf numFmtId="0" fontId="62" fillId="31" borderId="10" xfId="0" applyFont="1" applyFill="1" applyBorder="1" applyAlignment="1" applyProtection="1">
      <alignment horizontal="center" vertical="center" wrapText="1"/>
      <protection locked="0"/>
    </xf>
    <xf numFmtId="0" fontId="63" fillId="31" borderId="10" xfId="0" applyFont="1" applyFill="1" applyBorder="1" applyAlignment="1" applyProtection="1">
      <alignment wrapText="1"/>
      <protection locked="0"/>
    </xf>
    <xf numFmtId="0" fontId="0" fillId="31" borderId="10" xfId="0" applyFill="1" applyBorder="1" applyAlignment="1" applyProtection="1">
      <alignment vertical="center" wrapText="1"/>
      <protection locked="0"/>
    </xf>
    <xf numFmtId="0" fontId="0" fillId="31" borderId="10" xfId="0" applyFill="1" applyBorder="1" applyAlignment="1" applyProtection="1">
      <alignment wrapText="1"/>
      <protection locked="0"/>
    </xf>
    <xf numFmtId="0" fontId="61" fillId="0" borderId="40" xfId="0" applyFont="1" applyBorder="1" applyAlignment="1">
      <alignment horizontal="left" vertical="center" wrapText="1"/>
    </xf>
    <xf numFmtId="0" fontId="61" fillId="0" borderId="43" xfId="0" applyFont="1" applyBorder="1" applyAlignment="1">
      <alignment horizontal="left" vertical="center" wrapText="1"/>
    </xf>
    <xf numFmtId="0" fontId="53" fillId="31" borderId="40" xfId="0" applyFont="1" applyFill="1" applyBorder="1" applyAlignment="1" applyProtection="1">
      <alignment horizontal="center" vertical="center" wrapText="1"/>
      <protection locked="0"/>
    </xf>
    <xf numFmtId="0" fontId="53" fillId="31" borderId="42" xfId="0" applyFont="1" applyFill="1" applyBorder="1" applyAlignment="1" applyProtection="1">
      <alignment horizontal="center" vertical="center" wrapText="1"/>
      <protection locked="0"/>
    </xf>
    <xf numFmtId="0" fontId="53" fillId="31" borderId="43" xfId="0" applyFont="1" applyFill="1" applyBorder="1" applyAlignment="1" applyProtection="1">
      <alignment horizontal="center" vertical="center" wrapText="1"/>
      <protection locked="0"/>
    </xf>
    <xf numFmtId="0" fontId="52" fillId="29" borderId="97" xfId="0" applyFont="1" applyFill="1" applyBorder="1" applyAlignment="1">
      <alignment horizontal="center" vertical="center" wrapText="1"/>
    </xf>
    <xf numFmtId="0" fontId="0" fillId="0" borderId="97" xfId="0" applyBorder="1" applyAlignment="1">
      <alignment wrapText="1"/>
    </xf>
    <xf numFmtId="0" fontId="0" fillId="0" borderId="98" xfId="0" applyBorder="1" applyAlignment="1">
      <alignment wrapText="1"/>
    </xf>
    <xf numFmtId="0" fontId="61" fillId="0" borderId="10" xfId="0" applyFont="1" applyBorder="1" applyAlignment="1">
      <alignment vertical="center" wrapText="1"/>
    </xf>
    <xf numFmtId="0" fontId="0" fillId="0" borderId="10" xfId="0" applyBorder="1" applyAlignment="1">
      <alignment vertical="center" wrapText="1"/>
    </xf>
    <xf numFmtId="0" fontId="53" fillId="31" borderId="10" xfId="0" applyFont="1" applyFill="1" applyBorder="1" applyAlignment="1" applyProtection="1">
      <alignment vertical="center" wrapText="1"/>
      <protection locked="0"/>
    </xf>
    <xf numFmtId="0" fontId="0" fillId="31" borderId="10" xfId="0" applyFill="1" applyBorder="1" applyProtection="1">
      <protection locked="0"/>
    </xf>
    <xf numFmtId="0" fontId="53" fillId="31" borderId="40" xfId="0" applyFont="1" applyFill="1" applyBorder="1" applyAlignment="1" applyProtection="1">
      <alignment horizontal="left" vertical="center" wrapText="1"/>
      <protection locked="0"/>
    </xf>
    <xf numFmtId="0" fontId="53" fillId="31" borderId="42" xfId="0" applyFont="1" applyFill="1" applyBorder="1" applyAlignment="1" applyProtection="1">
      <alignment horizontal="left" vertical="center" wrapText="1"/>
      <protection locked="0"/>
    </xf>
    <xf numFmtId="0" fontId="53" fillId="31" borderId="43" xfId="0" applyFont="1" applyFill="1" applyBorder="1" applyAlignment="1" applyProtection="1">
      <alignment horizontal="left" vertical="center" wrapText="1"/>
      <protection locked="0"/>
    </xf>
    <xf numFmtId="0" fontId="53" fillId="28" borderId="10" xfId="0" applyFont="1" applyFill="1" applyBorder="1" applyAlignment="1" applyProtection="1">
      <alignment vertical="center" wrapText="1"/>
      <protection locked="0"/>
    </xf>
    <xf numFmtId="0" fontId="0" fillId="28" borderId="10" xfId="0" applyFill="1" applyBorder="1" applyProtection="1">
      <protection locked="0"/>
    </xf>
    <xf numFmtId="0" fontId="61" fillId="0" borderId="40" xfId="0" applyFont="1" applyBorder="1" applyAlignment="1">
      <alignment vertical="center" wrapText="1"/>
    </xf>
    <xf numFmtId="0" fontId="0" fillId="0" borderId="43" xfId="0" applyBorder="1" applyAlignment="1">
      <alignment vertical="center" wrapText="1"/>
    </xf>
    <xf numFmtId="0" fontId="53" fillId="31" borderId="40" xfId="0" applyFont="1" applyFill="1" applyBorder="1" applyAlignment="1" applyProtection="1">
      <alignment vertical="center" wrapText="1"/>
      <protection locked="0"/>
    </xf>
    <xf numFmtId="0" fontId="0" fillId="31" borderId="42" xfId="0" applyFill="1" applyBorder="1" applyProtection="1">
      <protection locked="0"/>
    </xf>
    <xf numFmtId="0" fontId="0" fillId="31" borderId="43" xfId="0" applyFill="1" applyBorder="1" applyProtection="1">
      <protection locked="0"/>
    </xf>
    <xf numFmtId="0" fontId="0" fillId="0" borderId="40" xfId="0"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43" xfId="0" applyBorder="1" applyAlignment="1" applyProtection="1">
      <alignment horizontal="left" vertical="center" wrapText="1"/>
      <protection locked="0"/>
    </xf>
    <xf numFmtId="0" fontId="53" fillId="31" borderId="49" xfId="0" applyFont="1" applyFill="1" applyBorder="1" applyAlignment="1" applyProtection="1">
      <alignment horizontal="left" vertical="center" wrapText="1"/>
      <protection locked="0"/>
    </xf>
    <xf numFmtId="0" fontId="53" fillId="31" borderId="33" xfId="0" applyFont="1" applyFill="1" applyBorder="1" applyAlignment="1" applyProtection="1">
      <alignment horizontal="left" vertical="center" wrapText="1"/>
      <protection locked="0"/>
    </xf>
    <xf numFmtId="0" fontId="53" fillId="31" borderId="45" xfId="0" applyFont="1" applyFill="1" applyBorder="1" applyAlignment="1" applyProtection="1">
      <alignment horizontal="left" vertical="center" wrapText="1"/>
      <protection locked="0"/>
    </xf>
    <xf numFmtId="0" fontId="53" fillId="31" borderId="50" xfId="0" applyFont="1" applyFill="1" applyBorder="1" applyAlignment="1" applyProtection="1">
      <alignment vertical="top" wrapText="1"/>
      <protection locked="0"/>
    </xf>
    <xf numFmtId="0" fontId="0" fillId="0" borderId="51" xfId="0" applyBorder="1" applyAlignment="1" applyProtection="1">
      <alignment vertical="top" wrapText="1"/>
      <protection locked="0"/>
    </xf>
    <xf numFmtId="0" fontId="0" fillId="0" borderId="52" xfId="0" applyBorder="1" applyAlignment="1" applyProtection="1">
      <alignment vertical="top" wrapText="1"/>
      <protection locked="0"/>
    </xf>
    <xf numFmtId="0" fontId="61" fillId="28" borderId="0" xfId="0" applyFont="1" applyFill="1" applyAlignment="1">
      <alignment horizontal="justify" vertical="center" wrapText="1"/>
    </xf>
    <xf numFmtId="0" fontId="0" fillId="28" borderId="0" xfId="0" applyFill="1" applyAlignment="1">
      <alignment wrapText="1"/>
    </xf>
    <xf numFmtId="0" fontId="53" fillId="28" borderId="0" xfId="0" applyFont="1" applyFill="1" applyAlignment="1">
      <alignment vertical="center" wrapText="1"/>
    </xf>
    <xf numFmtId="0" fontId="61" fillId="28" borderId="0" xfId="0" applyFont="1" applyFill="1" applyAlignment="1">
      <alignment horizontal="justify" vertical="center"/>
    </xf>
    <xf numFmtId="0" fontId="0" fillId="28" borderId="0" xfId="0" applyFill="1"/>
    <xf numFmtId="0" fontId="30" fillId="28" borderId="76" xfId="0" applyFont="1" applyFill="1" applyBorder="1" applyAlignment="1">
      <alignment horizontal="right" vertical="center" wrapText="1"/>
    </xf>
    <xf numFmtId="0" fontId="30" fillId="28" borderId="74" xfId="0" applyFont="1" applyFill="1" applyBorder="1" applyAlignment="1">
      <alignment horizontal="right" vertical="center" wrapText="1"/>
    </xf>
    <xf numFmtId="0" fontId="56" fillId="28" borderId="78" xfId="0" applyFont="1" applyFill="1" applyBorder="1" applyAlignment="1">
      <alignment horizontal="right" vertical="center" wrapText="1"/>
    </xf>
    <xf numFmtId="0" fontId="56" fillId="28" borderId="66" xfId="0" applyFont="1" applyFill="1" applyBorder="1" applyAlignment="1">
      <alignment horizontal="right" vertical="center" wrapText="1"/>
    </xf>
    <xf numFmtId="0" fontId="55" fillId="28" borderId="79" xfId="0" applyFont="1" applyFill="1" applyBorder="1" applyAlignment="1">
      <alignment horizontal="center" vertical="center" wrapText="1"/>
    </xf>
    <xf numFmtId="0" fontId="55" fillId="28" borderId="70" xfId="0" applyFont="1" applyFill="1" applyBorder="1" applyAlignment="1">
      <alignment horizontal="center" vertical="center" wrapText="1"/>
    </xf>
    <xf numFmtId="0" fontId="55" fillId="28" borderId="71" xfId="0" applyFont="1" applyFill="1" applyBorder="1" applyAlignment="1">
      <alignment horizontal="center" vertical="center" wrapText="1"/>
    </xf>
    <xf numFmtId="0" fontId="55" fillId="28" borderId="75" xfId="0" applyFont="1" applyFill="1" applyBorder="1" applyAlignment="1">
      <alignment horizontal="center" vertical="center" wrapText="1"/>
    </xf>
    <xf numFmtId="0" fontId="55" fillId="28" borderId="72" xfId="0" applyFont="1" applyFill="1" applyBorder="1" applyAlignment="1">
      <alignment horizontal="center" vertical="center" wrapText="1"/>
    </xf>
    <xf numFmtId="0" fontId="55" fillId="28" borderId="73" xfId="0" applyFont="1" applyFill="1" applyBorder="1" applyAlignment="1">
      <alignment horizontal="center" vertical="center" wrapText="1"/>
    </xf>
    <xf numFmtId="0" fontId="54" fillId="28" borderId="67" xfId="0" applyFont="1" applyFill="1" applyBorder="1" applyAlignment="1">
      <alignment horizontal="center" vertical="center" wrapText="1"/>
    </xf>
    <xf numFmtId="0" fontId="54" fillId="28" borderId="68" xfId="0" applyFont="1" applyFill="1" applyBorder="1" applyAlignment="1">
      <alignment horizontal="center" vertical="center" wrapText="1"/>
    </xf>
    <xf numFmtId="0" fontId="54" fillId="28" borderId="69" xfId="0" applyFont="1" applyFill="1" applyBorder="1" applyAlignment="1">
      <alignment horizontal="center" vertical="center" wrapText="1"/>
    </xf>
    <xf numFmtId="0" fontId="54" fillId="31" borderId="67" xfId="0" applyFont="1" applyFill="1" applyBorder="1" applyAlignment="1" applyProtection="1">
      <alignment horizontal="center" vertical="center" wrapText="1"/>
      <protection locked="0"/>
    </xf>
    <xf numFmtId="0" fontId="54" fillId="31" borderId="68" xfId="0" applyFont="1" applyFill="1" applyBorder="1" applyAlignment="1" applyProtection="1">
      <alignment horizontal="center" vertical="center" wrapText="1"/>
      <protection locked="0"/>
    </xf>
    <xf numFmtId="0" fontId="54" fillId="31" borderId="69" xfId="0" applyFont="1" applyFill="1" applyBorder="1" applyAlignment="1" applyProtection="1">
      <alignment horizontal="center" vertical="center" wrapText="1"/>
      <protection locked="0"/>
    </xf>
    <xf numFmtId="0" fontId="27" fillId="31" borderId="68" xfId="0" applyFont="1" applyFill="1" applyBorder="1" applyAlignment="1" applyProtection="1">
      <alignment horizontal="center" vertical="center" wrapText="1"/>
      <protection locked="0"/>
    </xf>
    <xf numFmtId="0" fontId="27" fillId="31" borderId="69" xfId="0" applyFont="1" applyFill="1" applyBorder="1" applyAlignment="1" applyProtection="1">
      <alignment horizontal="center" vertical="center" wrapText="1"/>
      <protection locked="0"/>
    </xf>
    <xf numFmtId="0" fontId="27" fillId="31" borderId="67" xfId="0" applyFont="1" applyFill="1" applyBorder="1" applyAlignment="1" applyProtection="1">
      <alignment horizontal="center" vertical="center" wrapText="1"/>
      <protection locked="0"/>
    </xf>
    <xf numFmtId="0" fontId="55" fillId="28" borderId="67" xfId="0" applyFont="1" applyFill="1" applyBorder="1" applyAlignment="1">
      <alignment horizontal="center" vertical="center" wrapText="1"/>
    </xf>
    <xf numFmtId="0" fontId="55" fillId="28" borderId="68" xfId="0" applyFont="1" applyFill="1" applyBorder="1" applyAlignment="1">
      <alignment horizontal="center" vertical="center" wrapText="1"/>
    </xf>
    <xf numFmtId="0" fontId="55" fillId="28" borderId="69" xfId="0" applyFont="1" applyFill="1" applyBorder="1" applyAlignment="1">
      <alignment horizontal="center" vertical="center" wrapText="1"/>
    </xf>
    <xf numFmtId="0" fontId="4" fillId="28" borderId="67" xfId="0" applyFont="1" applyFill="1" applyBorder="1" applyAlignment="1">
      <alignment horizontal="center" vertical="center" wrapText="1"/>
    </xf>
    <xf numFmtId="0" fontId="4" fillId="28" borderId="68" xfId="0" applyFont="1" applyFill="1" applyBorder="1" applyAlignment="1">
      <alignment horizontal="center" vertical="center" wrapText="1"/>
    </xf>
    <xf numFmtId="0" fontId="4" fillId="28" borderId="69" xfId="0" applyFont="1" applyFill="1" applyBorder="1" applyAlignment="1">
      <alignment horizontal="center" vertical="center" wrapText="1"/>
    </xf>
    <xf numFmtId="0" fontId="57" fillId="29" borderId="49" xfId="0" applyFont="1" applyFill="1" applyBorder="1" applyAlignment="1">
      <alignment vertical="center" wrapText="1"/>
    </xf>
    <xf numFmtId="0" fontId="57" fillId="29" borderId="33" xfId="0" applyFont="1" applyFill="1" applyBorder="1" applyAlignment="1">
      <alignment vertical="center" wrapText="1"/>
    </xf>
    <xf numFmtId="0" fontId="57" fillId="29" borderId="45" xfId="0" applyFont="1" applyFill="1" applyBorder="1" applyAlignment="1">
      <alignment vertical="center" wrapText="1"/>
    </xf>
    <xf numFmtId="0" fontId="55" fillId="28" borderId="75" xfId="0" applyFont="1" applyFill="1" applyBorder="1" applyAlignment="1">
      <alignment horizontal="left" vertical="center" wrapText="1"/>
    </xf>
    <xf numFmtId="0" fontId="55" fillId="28" borderId="72" xfId="0" applyFont="1" applyFill="1" applyBorder="1" applyAlignment="1">
      <alignment horizontal="left" vertical="center" wrapText="1"/>
    </xf>
    <xf numFmtId="0" fontId="55" fillId="28" borderId="73" xfId="0" applyFont="1" applyFill="1" applyBorder="1" applyAlignment="1">
      <alignment horizontal="left" vertical="center" wrapText="1"/>
    </xf>
    <xf numFmtId="0" fontId="27" fillId="28" borderId="68" xfId="0" applyFont="1" applyFill="1" applyBorder="1" applyAlignment="1">
      <alignment horizontal="center" vertical="center" wrapText="1"/>
    </xf>
    <xf numFmtId="0" fontId="27" fillId="28" borderId="69" xfId="0" applyFont="1" applyFill="1" applyBorder="1" applyAlignment="1">
      <alignment horizontal="center" vertical="center" wrapText="1"/>
    </xf>
    <xf numFmtId="0" fontId="27" fillId="28" borderId="67" xfId="0" applyFont="1" applyFill="1" applyBorder="1" applyAlignment="1">
      <alignment horizontal="center" vertical="center" wrapText="1"/>
    </xf>
    <xf numFmtId="0" fontId="4" fillId="28" borderId="75" xfId="0" applyFont="1" applyFill="1" applyBorder="1" applyAlignment="1">
      <alignment horizontal="left" vertical="center" wrapText="1"/>
    </xf>
    <xf numFmtId="0" fontId="4" fillId="28" borderId="72" xfId="0" applyFont="1" applyFill="1" applyBorder="1" applyAlignment="1">
      <alignment horizontal="left" vertical="center" wrapText="1"/>
    </xf>
    <xf numFmtId="0" fontId="4" fillId="28" borderId="73" xfId="0" applyFont="1" applyFill="1" applyBorder="1" applyAlignment="1">
      <alignment horizontal="left" vertical="center" wrapText="1"/>
    </xf>
    <xf numFmtId="0" fontId="0" fillId="28" borderId="75" xfId="0" applyFill="1" applyBorder="1" applyAlignment="1">
      <alignment horizontal="left" vertical="center" wrapText="1"/>
    </xf>
    <xf numFmtId="0" fontId="56" fillId="28" borderId="76" xfId="0" applyFont="1" applyFill="1" applyBorder="1" applyAlignment="1">
      <alignment horizontal="right" vertical="center" wrapText="1"/>
    </xf>
    <xf numFmtId="0" fontId="56" fillId="28" borderId="74" xfId="0" applyFont="1" applyFill="1" applyBorder="1" applyAlignment="1">
      <alignment horizontal="right" vertical="center" wrapText="1"/>
    </xf>
    <xf numFmtId="0" fontId="55" fillId="28" borderId="63" xfId="0" applyFont="1" applyFill="1" applyBorder="1" applyAlignment="1">
      <alignment horizontal="center" vertical="center" wrapText="1"/>
    </xf>
    <xf numFmtId="0" fontId="4" fillId="28" borderId="63" xfId="0" applyFont="1" applyFill="1" applyBorder="1" applyAlignment="1">
      <alignment horizontal="center" vertical="center" wrapText="1"/>
    </xf>
    <xf numFmtId="0" fontId="54" fillId="31" borderId="63" xfId="0" applyFont="1" applyFill="1" applyBorder="1" applyAlignment="1" applyProtection="1">
      <alignment horizontal="center" vertical="center" wrapText="1"/>
      <protection locked="0"/>
    </xf>
    <xf numFmtId="0" fontId="27" fillId="31" borderId="63" xfId="0" applyFont="1" applyFill="1" applyBorder="1" applyAlignment="1" applyProtection="1">
      <alignment horizontal="center" vertical="center" wrapText="1"/>
      <protection locked="0"/>
    </xf>
    <xf numFmtId="0" fontId="55" fillId="28" borderId="63" xfId="0" applyFont="1" applyFill="1" applyBorder="1" applyAlignment="1">
      <alignment horizontal="left" vertical="center" wrapText="1"/>
    </xf>
    <xf numFmtId="0" fontId="54" fillId="28" borderId="63" xfId="0" applyFont="1" applyFill="1" applyBorder="1" applyAlignment="1">
      <alignment horizontal="center" vertical="center" wrapText="1"/>
    </xf>
    <xf numFmtId="0" fontId="27" fillId="28" borderId="63" xfId="0" applyFont="1" applyFill="1" applyBorder="1" applyAlignment="1">
      <alignment horizontal="center" vertical="center" wrapText="1"/>
    </xf>
    <xf numFmtId="0" fontId="4" fillId="28" borderId="63" xfId="0" applyFont="1" applyFill="1" applyBorder="1" applyAlignment="1">
      <alignment horizontal="left" vertical="center" wrapText="1"/>
    </xf>
    <xf numFmtId="0" fontId="27" fillId="31" borderId="63" xfId="0" applyFont="1" applyFill="1" applyBorder="1" applyAlignment="1">
      <alignment horizontal="center" vertical="center" wrapText="1"/>
    </xf>
    <xf numFmtId="0" fontId="0" fillId="0" borderId="100" xfId="0" applyBorder="1" applyAlignment="1">
      <alignment horizontal="center" vertical="center" wrapText="1"/>
    </xf>
    <xf numFmtId="0" fontId="0" fillId="0" borderId="101" xfId="0" applyBorder="1" applyAlignment="1">
      <alignment horizontal="center" vertical="center" wrapText="1"/>
    </xf>
    <xf numFmtId="0" fontId="0" fillId="28" borderId="67" xfId="0" applyFill="1" applyBorder="1" applyAlignment="1">
      <alignment horizontal="center" vertical="center" wrapText="1"/>
    </xf>
    <xf numFmtId="0" fontId="0" fillId="28" borderId="68" xfId="0" applyFill="1" applyBorder="1" applyAlignment="1">
      <alignment horizontal="center" vertical="center" wrapText="1"/>
    </xf>
    <xf numFmtId="0" fontId="0" fillId="28" borderId="69" xfId="0" applyFill="1" applyBorder="1" applyAlignment="1">
      <alignment horizontal="center" vertical="center" wrapText="1"/>
    </xf>
    <xf numFmtId="0" fontId="27" fillId="36" borderId="67" xfId="0" applyFont="1" applyFill="1" applyBorder="1" applyAlignment="1" applyProtection="1">
      <alignment horizontal="center" vertical="center" wrapText="1"/>
      <protection locked="0"/>
    </xf>
    <xf numFmtId="0" fontId="27" fillId="36" borderId="68" xfId="0" applyFont="1" applyFill="1" applyBorder="1" applyAlignment="1" applyProtection="1">
      <alignment horizontal="center" vertical="center" wrapText="1"/>
      <protection locked="0"/>
    </xf>
    <xf numFmtId="0" fontId="27" fillId="36" borderId="69" xfId="0" applyFont="1" applyFill="1" applyBorder="1" applyAlignment="1" applyProtection="1">
      <alignment horizontal="center" vertical="center" wrapText="1"/>
      <protection locked="0"/>
    </xf>
    <xf numFmtId="0" fontId="27" fillId="33" borderId="67" xfId="0" applyFont="1" applyFill="1" applyBorder="1" applyAlignment="1" applyProtection="1">
      <alignment horizontal="center" vertical="center" wrapText="1"/>
      <protection locked="0"/>
    </xf>
    <xf numFmtId="0" fontId="27" fillId="33" borderId="68" xfId="0" applyFont="1" applyFill="1" applyBorder="1" applyAlignment="1" applyProtection="1">
      <alignment horizontal="center" vertical="center" wrapText="1"/>
      <protection locked="0"/>
    </xf>
    <xf numFmtId="0" fontId="27" fillId="33" borderId="69" xfId="0" applyFont="1" applyFill="1" applyBorder="1" applyAlignment="1" applyProtection="1">
      <alignment horizontal="center" vertical="center" wrapText="1"/>
      <protection locked="0"/>
    </xf>
    <xf numFmtId="0" fontId="27" fillId="34" borderId="67" xfId="0" applyFont="1" applyFill="1" applyBorder="1" applyAlignment="1" applyProtection="1">
      <alignment horizontal="center" vertical="center" wrapText="1"/>
      <protection locked="0"/>
    </xf>
    <xf numFmtId="0" fontId="27" fillId="34" borderId="68" xfId="0" applyFont="1" applyFill="1" applyBorder="1" applyAlignment="1" applyProtection="1">
      <alignment horizontal="center" vertical="center" wrapText="1"/>
      <protection locked="0"/>
    </xf>
    <xf numFmtId="0" fontId="27" fillId="34" borderId="69" xfId="0" applyFont="1" applyFill="1" applyBorder="1" applyAlignment="1" applyProtection="1">
      <alignment horizontal="center" vertical="center" wrapText="1"/>
      <protection locked="0"/>
    </xf>
    <xf numFmtId="0" fontId="27" fillId="32" borderId="67" xfId="0" applyFont="1" applyFill="1" applyBorder="1" applyAlignment="1" applyProtection="1">
      <alignment horizontal="center" vertical="center" wrapText="1"/>
      <protection locked="0"/>
    </xf>
    <xf numFmtId="0" fontId="27" fillId="32" borderId="68" xfId="0" applyFont="1" applyFill="1" applyBorder="1" applyAlignment="1" applyProtection="1">
      <alignment horizontal="center" vertical="center" wrapText="1"/>
      <protection locked="0"/>
    </xf>
    <xf numFmtId="0" fontId="27" fillId="32" borderId="69" xfId="0" applyFont="1" applyFill="1" applyBorder="1" applyAlignment="1" applyProtection="1">
      <alignment horizontal="center" vertical="center" wrapText="1"/>
      <protection locked="0"/>
    </xf>
    <xf numFmtId="0" fontId="0" fillId="0" borderId="137" xfId="0" applyBorder="1" applyAlignment="1">
      <alignment horizontal="center" vertical="center" wrapText="1"/>
    </xf>
    <xf numFmtId="0" fontId="0" fillId="0" borderId="94" xfId="0" applyBorder="1" applyAlignment="1">
      <alignment horizontal="center" vertical="center" wrapText="1"/>
    </xf>
    <xf numFmtId="0" fontId="0" fillId="0" borderId="138" xfId="0" applyBorder="1" applyAlignment="1">
      <alignment horizontal="center" vertical="center" wrapText="1"/>
    </xf>
    <xf numFmtId="0" fontId="0" fillId="0" borderId="103" xfId="0" applyBorder="1" applyAlignment="1">
      <alignment horizontal="center" vertical="center" wrapText="1"/>
    </xf>
    <xf numFmtId="0" fontId="27" fillId="32" borderId="63" xfId="0" applyFont="1" applyFill="1" applyBorder="1" applyAlignment="1" applyProtection="1">
      <alignment horizontal="center" vertical="center" wrapText="1"/>
      <protection locked="0"/>
    </xf>
    <xf numFmtId="0" fontId="0" fillId="0" borderId="127" xfId="0" applyBorder="1" applyAlignment="1">
      <alignment horizontal="left" vertical="center" wrapText="1"/>
    </xf>
    <xf numFmtId="0" fontId="0" fillId="0" borderId="128" xfId="0" applyBorder="1" applyAlignment="1">
      <alignment horizontal="left" vertical="center" wrapText="1"/>
    </xf>
    <xf numFmtId="0" fontId="0" fillId="0" borderId="108" xfId="0" applyBorder="1" applyAlignment="1">
      <alignment horizontal="left" vertical="center" wrapText="1"/>
    </xf>
    <xf numFmtId="0" fontId="0" fillId="0" borderId="105" xfId="0" applyBorder="1" applyAlignment="1">
      <alignment horizontal="left" vertical="center" wrapText="1"/>
    </xf>
    <xf numFmtId="0" fontId="0" fillId="0" borderId="102" xfId="0" applyBorder="1" applyAlignment="1">
      <alignment horizontal="center" vertical="center" wrapText="1"/>
    </xf>
    <xf numFmtId="0" fontId="0" fillId="0" borderId="125" xfId="0" applyBorder="1" applyAlignment="1">
      <alignment horizontal="center" vertical="center" wrapText="1"/>
    </xf>
    <xf numFmtId="0" fontId="0" fillId="0" borderId="111" xfId="0" applyBorder="1" applyAlignment="1">
      <alignment horizontal="center" vertical="center" wrapText="1"/>
    </xf>
    <xf numFmtId="0" fontId="0" fillId="0" borderId="126" xfId="0" applyBorder="1" applyAlignment="1">
      <alignment horizontal="center" vertical="center" wrapText="1"/>
    </xf>
    <xf numFmtId="0" fontId="0" fillId="0" borderId="110" xfId="0" applyBorder="1" applyAlignment="1">
      <alignment horizontal="center" vertical="center" wrapText="1"/>
    </xf>
    <xf numFmtId="0" fontId="27" fillId="36" borderId="63" xfId="0" applyFont="1" applyFill="1" applyBorder="1" applyAlignment="1" applyProtection="1">
      <alignment horizontal="center" vertical="center" wrapText="1"/>
      <protection locked="0"/>
    </xf>
    <xf numFmtId="0" fontId="0" fillId="34" borderId="63" xfId="0" applyFill="1" applyBorder="1" applyAlignment="1" applyProtection="1">
      <alignment horizontal="center" vertical="center"/>
      <protection locked="0"/>
    </xf>
    <xf numFmtId="0" fontId="0" fillId="33" borderId="63" xfId="0" applyFill="1" applyBorder="1" applyAlignment="1" applyProtection="1">
      <alignment horizontal="center" vertical="center"/>
      <protection locked="0"/>
    </xf>
    <xf numFmtId="0" fontId="0" fillId="28" borderId="63" xfId="0" applyFill="1" applyBorder="1" applyAlignment="1">
      <alignment horizontal="center" vertical="center"/>
    </xf>
    <xf numFmtId="0" fontId="0" fillId="28" borderId="63" xfId="0" applyFill="1" applyBorder="1" applyAlignment="1">
      <alignment horizontal="center" vertical="center" wrapText="1"/>
    </xf>
    <xf numFmtId="0" fontId="57" fillId="29" borderId="113" xfId="0" applyFont="1" applyFill="1" applyBorder="1" applyAlignment="1">
      <alignment horizontal="center" vertical="center" wrapText="1"/>
    </xf>
    <xf numFmtId="0" fontId="57" fillId="29" borderId="114" xfId="0" applyFont="1" applyFill="1" applyBorder="1" applyAlignment="1">
      <alignment horizontal="center" vertical="center" wrapText="1"/>
    </xf>
    <xf numFmtId="0" fontId="57" fillId="29" borderId="135" xfId="0" applyFont="1" applyFill="1" applyBorder="1" applyAlignment="1">
      <alignment horizontal="center" vertical="center" wrapText="1"/>
    </xf>
    <xf numFmtId="0" fontId="57" fillId="29" borderId="115" xfId="0" applyFont="1" applyFill="1" applyBorder="1" applyAlignment="1">
      <alignment horizontal="center" vertical="center" wrapText="1"/>
    </xf>
    <xf numFmtId="0" fontId="57" fillId="29" borderId="116" xfId="0" applyFont="1" applyFill="1" applyBorder="1" applyAlignment="1">
      <alignment horizontal="center" vertical="center" wrapText="1"/>
    </xf>
    <xf numFmtId="0" fontId="57" fillId="29" borderId="136" xfId="0" applyFont="1" applyFill="1" applyBorder="1" applyAlignment="1">
      <alignment horizontal="center" vertical="center" wrapText="1"/>
    </xf>
    <xf numFmtId="0" fontId="27" fillId="28" borderId="0" xfId="0" applyFont="1" applyFill="1" applyAlignment="1">
      <alignment vertical="center" wrapText="1"/>
    </xf>
    <xf numFmtId="0" fontId="27" fillId="30" borderId="0" xfId="0" applyFont="1" applyFill="1" applyAlignment="1">
      <alignment vertical="center" wrapText="1"/>
    </xf>
    <xf numFmtId="0" fontId="20" fillId="28" borderId="0" xfId="0" applyFont="1" applyFill="1" applyAlignment="1">
      <alignment horizontal="left" vertical="center"/>
    </xf>
    <xf numFmtId="0" fontId="58" fillId="28" borderId="0" xfId="0" applyFont="1" applyFill="1" applyAlignment="1">
      <alignment horizontal="center" vertical="center" wrapText="1"/>
    </xf>
    <xf numFmtId="0" fontId="27" fillId="28" borderId="0" xfId="0" applyFont="1" applyFill="1" applyAlignment="1">
      <alignment horizontal="center" vertical="center" wrapText="1"/>
    </xf>
    <xf numFmtId="0" fontId="0" fillId="32" borderId="63" xfId="0" applyFill="1" applyBorder="1" applyAlignment="1" applyProtection="1">
      <alignment horizontal="center" vertical="center"/>
      <protection locked="0"/>
    </xf>
    <xf numFmtId="0" fontId="27" fillId="28" borderId="63" xfId="0" applyFont="1" applyFill="1" applyBorder="1" applyAlignment="1">
      <alignment horizontal="center" vertical="center"/>
    </xf>
    <xf numFmtId="0" fontId="27" fillId="33" borderId="63" xfId="0" applyFont="1" applyFill="1" applyBorder="1" applyAlignment="1" applyProtection="1">
      <alignment horizontal="center" vertical="center" wrapText="1"/>
      <protection locked="0"/>
    </xf>
    <xf numFmtId="0" fontId="57" fillId="29" borderId="130" xfId="0" applyFont="1" applyFill="1" applyBorder="1" applyAlignment="1">
      <alignment horizontal="center" vertical="center" wrapText="1"/>
    </xf>
    <xf numFmtId="0" fontId="57" fillId="29" borderId="131" xfId="0" applyFont="1" applyFill="1" applyBorder="1" applyAlignment="1">
      <alignment horizontal="center" vertical="center" wrapText="1"/>
    </xf>
    <xf numFmtId="0" fontId="54" fillId="28" borderId="117" xfId="0" applyFont="1" applyFill="1" applyBorder="1" applyAlignment="1">
      <alignment horizontal="center" vertical="center" wrapText="1"/>
    </xf>
    <xf numFmtId="0" fontId="54" fillId="28" borderId="118" xfId="0" applyFont="1" applyFill="1" applyBorder="1" applyAlignment="1">
      <alignment horizontal="center" vertical="center" wrapText="1"/>
    </xf>
    <xf numFmtId="0" fontId="54" fillId="28" borderId="132" xfId="0" applyFont="1" applyFill="1" applyBorder="1" applyAlignment="1">
      <alignment horizontal="center" vertical="center" wrapText="1"/>
    </xf>
    <xf numFmtId="0" fontId="54" fillId="28" borderId="120" xfId="0" applyFont="1" applyFill="1" applyBorder="1" applyAlignment="1">
      <alignment horizontal="center" vertical="center" wrapText="1"/>
    </xf>
    <xf numFmtId="0" fontId="54" fillId="28" borderId="53" xfId="0" applyFont="1" applyFill="1" applyBorder="1" applyAlignment="1">
      <alignment horizontal="center" vertical="center" wrapText="1"/>
    </xf>
    <xf numFmtId="0" fontId="54" fillId="28" borderId="55" xfId="0" applyFont="1" applyFill="1" applyBorder="1" applyAlignment="1">
      <alignment horizontal="center" vertical="center" wrapText="1"/>
    </xf>
    <xf numFmtId="0" fontId="54" fillId="28" borderId="122" xfId="0" applyFont="1" applyFill="1" applyBorder="1" applyAlignment="1">
      <alignment horizontal="center" vertical="center" wrapText="1"/>
    </xf>
    <xf numFmtId="0" fontId="54" fillId="28" borderId="123" xfId="0" applyFont="1" applyFill="1" applyBorder="1" applyAlignment="1">
      <alignment horizontal="center" vertical="center" wrapText="1"/>
    </xf>
    <xf numFmtId="0" fontId="54" fillId="28" borderId="133" xfId="0" applyFont="1" applyFill="1" applyBorder="1" applyAlignment="1">
      <alignment horizontal="center" vertical="center" wrapText="1"/>
    </xf>
    <xf numFmtId="0" fontId="54" fillId="28" borderId="134" xfId="0" applyFont="1" applyFill="1" applyBorder="1" applyAlignment="1">
      <alignment horizontal="center" vertical="center" wrapText="1"/>
    </xf>
    <xf numFmtId="0" fontId="54" fillId="28" borderId="110" xfId="0" applyFont="1" applyFill="1" applyBorder="1" applyAlignment="1">
      <alignment horizontal="center" vertical="center" wrapText="1"/>
    </xf>
    <xf numFmtId="0" fontId="64" fillId="35" borderId="106" xfId="0" applyFont="1" applyFill="1" applyBorder="1" applyAlignment="1">
      <alignment horizontal="center" vertical="center"/>
    </xf>
    <xf numFmtId="0" fontId="27" fillId="34" borderId="63" xfId="0" applyFont="1" applyFill="1" applyBorder="1" applyAlignment="1" applyProtection="1">
      <alignment horizontal="center" vertical="center" wrapText="1"/>
      <protection locked="0"/>
    </xf>
    <xf numFmtId="0" fontId="0" fillId="28" borderId="94" xfId="0" applyFill="1" applyBorder="1" applyAlignment="1">
      <alignment horizontal="left" vertical="center" wrapText="1"/>
    </xf>
    <xf numFmtId="0" fontId="0" fillId="28" borderId="95" xfId="0" applyFill="1" applyBorder="1" applyAlignment="1">
      <alignment horizontal="left" vertical="center" wrapText="1"/>
    </xf>
    <xf numFmtId="0" fontId="30" fillId="28" borderId="78" xfId="0" applyFont="1" applyFill="1" applyBorder="1" applyAlignment="1">
      <alignment horizontal="right" vertical="center" wrapText="1"/>
    </xf>
    <xf numFmtId="0" fontId="30" fillId="28" borderId="66" xfId="0" applyFont="1" applyFill="1" applyBorder="1" applyAlignment="1">
      <alignment horizontal="right" vertical="center" wrapText="1"/>
    </xf>
    <xf numFmtId="0" fontId="57" fillId="29" borderId="49" xfId="0" applyFont="1" applyFill="1" applyBorder="1" applyAlignment="1">
      <alignment horizontal="left" vertical="center" wrapText="1"/>
    </xf>
    <xf numFmtId="0" fontId="57" fillId="29" borderId="33" xfId="0" applyFont="1" applyFill="1" applyBorder="1" applyAlignment="1">
      <alignment horizontal="left" vertical="center" wrapText="1"/>
    </xf>
    <xf numFmtId="0" fontId="57" fillId="29" borderId="58" xfId="0" applyFont="1" applyFill="1" applyBorder="1" applyAlignment="1">
      <alignment horizontal="left" vertical="center" wrapText="1"/>
    </xf>
    <xf numFmtId="0" fontId="57" fillId="29" borderId="54" xfId="0" applyFont="1" applyFill="1" applyBorder="1" applyAlignment="1">
      <alignment horizontal="left" vertical="center" wrapText="1"/>
    </xf>
    <xf numFmtId="0" fontId="57" fillId="29" borderId="0" xfId="0" applyFont="1" applyFill="1" applyAlignment="1">
      <alignment horizontal="left" vertical="center" wrapText="1"/>
    </xf>
    <xf numFmtId="0" fontId="57" fillId="29" borderId="83" xfId="0" applyFont="1" applyFill="1" applyBorder="1" applyAlignment="1">
      <alignment horizontal="left" vertical="center" wrapText="1"/>
    </xf>
    <xf numFmtId="0" fontId="0" fillId="0" borderId="109" xfId="0" applyBorder="1" applyAlignment="1">
      <alignment horizontal="left" vertical="center" wrapText="1"/>
    </xf>
    <xf numFmtId="0" fontId="0" fillId="0" borderId="104" xfId="0" applyBorder="1" applyAlignment="1">
      <alignment horizontal="left" vertical="center" wrapText="1"/>
    </xf>
    <xf numFmtId="0" fontId="0" fillId="0" borderId="129" xfId="0" applyBorder="1" applyAlignment="1">
      <alignment horizontal="left" vertical="center" wrapText="1"/>
    </xf>
    <xf numFmtId="0" fontId="0" fillId="33" borderId="67" xfId="0" applyFill="1" applyBorder="1" applyAlignment="1" applyProtection="1">
      <alignment horizontal="center" vertical="center"/>
      <protection locked="0"/>
    </xf>
    <xf numFmtId="0" fontId="0" fillId="34" borderId="67" xfId="0" applyFill="1" applyBorder="1" applyAlignment="1" applyProtection="1">
      <alignment horizontal="center" vertical="center"/>
      <protection locked="0"/>
    </xf>
    <xf numFmtId="0" fontId="0" fillId="32" borderId="67" xfId="0" applyFill="1" applyBorder="1" applyAlignment="1" applyProtection="1">
      <alignment horizontal="center" vertical="center"/>
      <protection locked="0"/>
    </xf>
    <xf numFmtId="0" fontId="0" fillId="0" borderId="112" xfId="0" applyBorder="1" applyAlignment="1">
      <alignment horizontal="center" vertical="center" wrapText="1"/>
    </xf>
    <xf numFmtId="0" fontId="54" fillId="36" borderId="117" xfId="0" applyFont="1" applyFill="1" applyBorder="1" applyAlignment="1" applyProtection="1">
      <alignment horizontal="center" vertical="center" wrapText="1"/>
      <protection locked="0"/>
    </xf>
    <xf numFmtId="0" fontId="54" fillId="36" borderId="118" xfId="0" applyFont="1" applyFill="1" applyBorder="1" applyAlignment="1" applyProtection="1">
      <alignment horizontal="center" vertical="center" wrapText="1"/>
      <protection locked="0"/>
    </xf>
    <xf numFmtId="0" fontId="54" fillId="36" borderId="119" xfId="0" applyFont="1" applyFill="1" applyBorder="1" applyAlignment="1" applyProtection="1">
      <alignment horizontal="center" vertical="center" wrapText="1"/>
      <protection locked="0"/>
    </xf>
    <xf numFmtId="0" fontId="54" fillId="36" borderId="120" xfId="0" applyFont="1" applyFill="1" applyBorder="1" applyAlignment="1" applyProtection="1">
      <alignment horizontal="center" vertical="center" wrapText="1"/>
      <protection locked="0"/>
    </xf>
    <xf numFmtId="0" fontId="54" fillId="36" borderId="53" xfId="0" applyFont="1" applyFill="1" applyBorder="1" applyAlignment="1" applyProtection="1">
      <alignment horizontal="center" vertical="center" wrapText="1"/>
      <protection locked="0"/>
    </xf>
    <xf numFmtId="0" fontId="54" fillId="36" borderId="121" xfId="0" applyFont="1" applyFill="1" applyBorder="1" applyAlignment="1" applyProtection="1">
      <alignment horizontal="center" vertical="center" wrapText="1"/>
      <protection locked="0"/>
    </xf>
    <xf numFmtId="0" fontId="54" fillId="36" borderId="122" xfId="0" applyFont="1" applyFill="1" applyBorder="1" applyAlignment="1" applyProtection="1">
      <alignment horizontal="center" vertical="center" wrapText="1"/>
      <protection locked="0"/>
    </xf>
    <xf numFmtId="0" fontId="54" fillId="36" borderId="123" xfId="0" applyFont="1" applyFill="1" applyBorder="1" applyAlignment="1" applyProtection="1">
      <alignment horizontal="center" vertical="center" wrapText="1"/>
      <protection locked="0"/>
    </xf>
    <xf numFmtId="0" fontId="54" fillId="36" borderId="124" xfId="0" applyFont="1" applyFill="1" applyBorder="1" applyAlignment="1" applyProtection="1">
      <alignment horizontal="center" vertical="center" wrapText="1"/>
      <protection locked="0"/>
    </xf>
    <xf numFmtId="0" fontId="64" fillId="35" borderId="106" xfId="0" applyFont="1" applyFill="1" applyBorder="1" applyAlignment="1">
      <alignment horizontal="center" vertical="center" wrapText="1"/>
    </xf>
    <xf numFmtId="0" fontId="64" fillId="35" borderId="107" xfId="0" applyFont="1" applyFill="1" applyBorder="1" applyAlignment="1">
      <alignment horizontal="center" vertical="center" wrapText="1"/>
    </xf>
    <xf numFmtId="0" fontId="0" fillId="0" borderId="99" xfId="0" applyBorder="1" applyAlignment="1">
      <alignment horizontal="center" vertical="center" wrapText="1"/>
    </xf>
    <xf numFmtId="0" fontId="20" fillId="28" borderId="134" xfId="0" applyFont="1" applyFill="1" applyBorder="1" applyAlignment="1">
      <alignment horizontal="left" vertical="center"/>
    </xf>
    <xf numFmtId="0" fontId="0" fillId="28" borderId="134" xfId="0" applyFill="1" applyBorder="1"/>
    <xf numFmtId="0" fontId="58" fillId="29" borderId="49" xfId="0" applyFont="1" applyFill="1" applyBorder="1" applyAlignment="1">
      <alignment horizontal="center" vertical="center" wrapText="1"/>
    </xf>
    <xf numFmtId="0" fontId="58" fillId="29" borderId="33" xfId="0" applyFont="1" applyFill="1" applyBorder="1" applyAlignment="1">
      <alignment horizontal="center" vertical="center" wrapText="1"/>
    </xf>
    <xf numFmtId="0" fontId="0" fillId="0" borderId="58" xfId="0" applyBorder="1" applyAlignment="1">
      <alignment horizontal="center" vertical="center" wrapText="1"/>
    </xf>
    <xf numFmtId="0" fontId="58" fillId="29" borderId="54" xfId="0" applyFont="1" applyFill="1" applyBorder="1" applyAlignment="1">
      <alignment horizontal="center" vertical="center" wrapText="1"/>
    </xf>
    <xf numFmtId="0" fontId="58" fillId="29" borderId="0" xfId="0" applyFont="1" applyFill="1" applyAlignment="1">
      <alignment horizontal="center" vertical="center" wrapText="1"/>
    </xf>
    <xf numFmtId="0" fontId="0" fillId="0" borderId="83" xfId="0" applyBorder="1" applyAlignment="1">
      <alignment horizontal="center" vertical="center" wrapText="1"/>
    </xf>
    <xf numFmtId="0" fontId="58" fillId="29" borderId="56" xfId="0" applyFont="1" applyFill="1" applyBorder="1" applyAlignment="1">
      <alignment horizontal="center" vertical="center" wrapText="1"/>
    </xf>
    <xf numFmtId="0" fontId="58" fillId="29" borderId="46" xfId="0" applyFont="1" applyFill="1" applyBorder="1" applyAlignment="1">
      <alignment horizontal="center" vertical="center" wrapText="1"/>
    </xf>
    <xf numFmtId="0" fontId="0" fillId="0" borderId="139" xfId="0" applyBorder="1" applyAlignment="1">
      <alignment horizontal="center" vertical="center" wrapText="1"/>
    </xf>
    <xf numFmtId="0" fontId="0" fillId="0" borderId="0" xfId="0" applyAlignment="1">
      <alignment vertical="center" wrapText="1"/>
    </xf>
    <xf numFmtId="0" fontId="0" fillId="0" borderId="46" xfId="0" applyBorder="1" applyAlignment="1">
      <alignment vertical="center" wrapText="1"/>
    </xf>
    <xf numFmtId="0" fontId="58" fillId="29" borderId="61" xfId="0" applyFont="1" applyFill="1" applyBorder="1" applyAlignment="1">
      <alignment horizontal="center" vertical="center" wrapText="1"/>
    </xf>
    <xf numFmtId="0" fontId="0" fillId="0" borderId="106" xfId="0" applyBorder="1" applyAlignment="1">
      <alignment vertical="center" wrapText="1"/>
    </xf>
    <xf numFmtId="0" fontId="0" fillId="0" borderId="140" xfId="0" applyBorder="1" applyAlignment="1">
      <alignment vertical="center" wrapText="1"/>
    </xf>
    <xf numFmtId="0" fontId="58" fillId="29" borderId="141" xfId="0" applyFont="1" applyFill="1" applyBorder="1" applyAlignment="1">
      <alignment horizontal="center" vertical="center" wrapText="1"/>
    </xf>
    <xf numFmtId="0" fontId="0" fillId="0" borderId="59" xfId="0" applyBorder="1" applyAlignment="1">
      <alignment vertical="center" wrapText="1"/>
    </xf>
    <xf numFmtId="0" fontId="0" fillId="0" borderId="142" xfId="0" applyBorder="1" applyAlignment="1">
      <alignment vertical="center" wrapText="1"/>
    </xf>
    <xf numFmtId="0" fontId="58" fillId="29" borderId="45" xfId="0" applyFont="1" applyFill="1" applyBorder="1" applyAlignment="1">
      <alignment horizontal="center" vertical="center" wrapText="1"/>
    </xf>
    <xf numFmtId="0" fontId="0" fillId="0" borderId="44" xfId="0" applyBorder="1" applyAlignment="1">
      <alignment vertical="center" wrapText="1"/>
    </xf>
    <xf numFmtId="0" fontId="0" fillId="0" borderId="37" xfId="0" applyBorder="1" applyAlignment="1">
      <alignment vertical="center" wrapText="1"/>
    </xf>
    <xf numFmtId="0" fontId="27" fillId="30" borderId="69" xfId="0" applyFont="1" applyFill="1" applyBorder="1" applyAlignment="1">
      <alignment horizontal="center" vertical="center" wrapText="1"/>
    </xf>
    <xf numFmtId="0" fontId="27" fillId="30" borderId="63" xfId="0" applyFont="1" applyFill="1" applyBorder="1" applyAlignment="1">
      <alignment horizontal="center" vertical="center" wrapText="1"/>
    </xf>
    <xf numFmtId="0" fontId="27" fillId="30" borderId="63" xfId="0" applyFont="1" applyFill="1" applyBorder="1" applyAlignment="1">
      <alignment vertical="center" wrapText="1"/>
    </xf>
    <xf numFmtId="0" fontId="0" fillId="28" borderId="63" xfId="0" applyFill="1" applyBorder="1" applyAlignment="1">
      <alignment horizontal="left" vertical="center" wrapText="1"/>
    </xf>
    <xf numFmtId="0" fontId="54" fillId="0" borderId="63" xfId="0" applyFont="1" applyBorder="1" applyAlignment="1">
      <alignment horizontal="center" vertical="center" wrapText="1"/>
    </xf>
    <xf numFmtId="0" fontId="56" fillId="28" borderId="76" xfId="0" applyFont="1" applyFill="1" applyBorder="1" applyAlignment="1">
      <alignment horizontal="right" vertical="center"/>
    </xf>
    <xf numFmtId="0" fontId="56" fillId="28" borderId="74" xfId="0" applyFont="1" applyFill="1" applyBorder="1" applyAlignment="1">
      <alignment horizontal="right" vertical="center"/>
    </xf>
    <xf numFmtId="0" fontId="30" fillId="28" borderId="78" xfId="0" applyFont="1" applyFill="1" applyBorder="1" applyAlignment="1">
      <alignment horizontal="right" vertical="center"/>
    </xf>
    <xf numFmtId="0" fontId="30" fillId="28" borderId="66" xfId="0" applyFont="1" applyFill="1" applyBorder="1" applyAlignment="1">
      <alignment horizontal="right" vertical="center"/>
    </xf>
    <xf numFmtId="0" fontId="57" fillId="29" borderId="143" xfId="0" applyFont="1" applyFill="1" applyBorder="1" applyAlignment="1">
      <alignment horizontal="center" vertical="center" wrapText="1"/>
    </xf>
    <xf numFmtId="0" fontId="57" fillId="29" borderId="144" xfId="0" applyFont="1" applyFill="1" applyBorder="1" applyAlignment="1">
      <alignment horizontal="center" vertical="center" wrapText="1"/>
    </xf>
    <xf numFmtId="0" fontId="54" fillId="36" borderId="63" xfId="0" applyFont="1" applyFill="1" applyBorder="1" applyAlignment="1" applyProtection="1">
      <alignment horizontal="center" vertical="center" wrapText="1"/>
      <protection locked="0"/>
    </xf>
    <xf numFmtId="0" fontId="34" fillId="28" borderId="0" xfId="0" applyFont="1" applyFill="1" applyAlignment="1">
      <alignment horizontal="center" vertical="center" wrapText="1"/>
    </xf>
    <xf numFmtId="0" fontId="55" fillId="28" borderId="74" xfId="0" applyFont="1" applyFill="1" applyBorder="1" applyAlignment="1">
      <alignment horizontal="center" vertical="center" wrapText="1"/>
    </xf>
    <xf numFmtId="0" fontId="34" fillId="0" borderId="0" xfId="0" applyFont="1" applyAlignment="1">
      <alignment vertical="center" wrapText="1"/>
    </xf>
    <xf numFmtId="0" fontId="0" fillId="0" borderId="0" xfId="0"/>
    <xf numFmtId="0" fontId="57" fillId="29" borderId="145" xfId="0" applyFont="1" applyFill="1" applyBorder="1" applyAlignment="1">
      <alignment horizontal="center" vertical="center" wrapText="1"/>
    </xf>
    <xf numFmtId="0" fontId="0" fillId="28" borderId="0" xfId="0" applyFill="1" applyAlignment="1">
      <alignment horizontal="center" vertical="center" wrapText="1"/>
    </xf>
    <xf numFmtId="0" fontId="55" fillId="0" borderId="67" xfId="0" applyFont="1" applyBorder="1" applyAlignment="1">
      <alignment horizontal="left" vertical="center" wrapText="1"/>
    </xf>
    <xf numFmtId="0" fontId="55" fillId="0" borderId="68" xfId="0" applyFont="1" applyBorder="1" applyAlignment="1">
      <alignment horizontal="left" vertical="center" wrapText="1"/>
    </xf>
    <xf numFmtId="0" fontId="55" fillId="0" borderId="69" xfId="0" applyFont="1" applyBorder="1" applyAlignment="1">
      <alignment horizontal="left" vertical="center" wrapText="1"/>
    </xf>
    <xf numFmtId="0" fontId="0" fillId="0" borderId="67" xfId="0" applyBorder="1" applyAlignment="1">
      <alignment horizontal="left" vertical="center" wrapText="1"/>
    </xf>
    <xf numFmtId="0" fontId="0" fillId="0" borderId="68" xfId="0" applyBorder="1" applyAlignment="1">
      <alignment horizontal="left" vertical="center" wrapText="1"/>
    </xf>
    <xf numFmtId="0" fontId="0" fillId="0" borderId="69" xfId="0" applyBorder="1" applyAlignment="1">
      <alignment horizontal="left" vertical="center" wrapText="1"/>
    </xf>
    <xf numFmtId="0" fontId="0" fillId="0" borderId="67" xfId="0" applyBorder="1" applyAlignment="1">
      <alignment horizontal="left" vertical="top" wrapText="1"/>
    </xf>
    <xf numFmtId="0" fontId="0" fillId="0" borderId="68" xfId="0" applyBorder="1" applyAlignment="1">
      <alignment horizontal="left" vertical="top" wrapText="1"/>
    </xf>
    <xf numFmtId="0" fontId="0" fillId="0" borderId="69" xfId="0" applyBorder="1" applyAlignment="1">
      <alignment horizontal="left" vertical="top" wrapText="1"/>
    </xf>
    <xf numFmtId="0" fontId="0" fillId="0" borderId="75" xfId="0" applyBorder="1" applyAlignment="1">
      <alignment horizontal="left" vertical="center"/>
    </xf>
    <xf numFmtId="0" fontId="0" fillId="0" borderId="73" xfId="0" applyBorder="1" applyAlignment="1">
      <alignment horizontal="left" vertical="center"/>
    </xf>
    <xf numFmtId="0" fontId="0" fillId="0" borderId="67" xfId="0" applyBorder="1" applyAlignment="1">
      <alignment horizontal="center" vertical="center" wrapText="1"/>
    </xf>
    <xf numFmtId="0" fontId="0" fillId="0" borderId="68" xfId="0" applyBorder="1" applyAlignment="1">
      <alignment horizontal="center" vertical="center" wrapText="1"/>
    </xf>
    <xf numFmtId="0" fontId="0" fillId="0" borderId="69" xfId="0" applyBorder="1" applyAlignment="1">
      <alignment horizontal="center" vertical="center" wrapText="1"/>
    </xf>
    <xf numFmtId="0" fontId="55" fillId="0" borderId="67" xfId="0" applyFont="1" applyBorder="1" applyAlignment="1">
      <alignment horizontal="center" vertical="center" wrapText="1"/>
    </xf>
    <xf numFmtId="0" fontId="55" fillId="0" borderId="68" xfId="0" applyFont="1" applyBorder="1" applyAlignment="1">
      <alignment horizontal="center" vertical="center" wrapText="1"/>
    </xf>
    <xf numFmtId="0" fontId="55" fillId="0" borderId="69" xfId="0" applyFont="1" applyBorder="1" applyAlignment="1">
      <alignment horizontal="center" vertical="center" wrapText="1"/>
    </xf>
    <xf numFmtId="0" fontId="27" fillId="28" borderId="63" xfId="0" applyFont="1" applyFill="1" applyBorder="1" applyAlignment="1" applyProtection="1">
      <alignment horizontal="center" vertical="center" wrapText="1"/>
      <protection locked="0"/>
    </xf>
    <xf numFmtId="0" fontId="27" fillId="28" borderId="67" xfId="0" applyFont="1" applyFill="1" applyBorder="1" applyAlignment="1" applyProtection="1">
      <alignment horizontal="center" vertical="center" wrapText="1"/>
      <protection locked="0"/>
    </xf>
    <xf numFmtId="0" fontId="27" fillId="28" borderId="68" xfId="0" applyFont="1" applyFill="1" applyBorder="1" applyAlignment="1" applyProtection="1">
      <alignment horizontal="center" vertical="center" wrapText="1"/>
      <protection locked="0"/>
    </xf>
    <xf numFmtId="0" fontId="27" fillId="28" borderId="69" xfId="0" applyFont="1" applyFill="1" applyBorder="1" applyAlignment="1" applyProtection="1">
      <alignment horizontal="center" vertical="center" wrapText="1"/>
      <protection locked="0"/>
    </xf>
    <xf numFmtId="0" fontId="34" fillId="30" borderId="63" xfId="0" applyFont="1" applyFill="1" applyBorder="1" applyAlignment="1">
      <alignment horizontal="center" vertical="center" wrapText="1"/>
    </xf>
    <xf numFmtId="0" fontId="0" fillId="0" borderId="63" xfId="0" applyBorder="1"/>
    <xf numFmtId="0" fontId="34" fillId="30" borderId="63" xfId="0" applyFont="1" applyFill="1" applyBorder="1" applyAlignment="1">
      <alignment vertical="center" wrapText="1"/>
    </xf>
    <xf numFmtId="0" fontId="34" fillId="30" borderId="69" xfId="0" applyFont="1" applyFill="1" applyBorder="1" applyAlignment="1">
      <alignment horizontal="center" vertical="center" wrapText="1"/>
    </xf>
    <xf numFmtId="0" fontId="0" fillId="0" borderId="69" xfId="0" applyBorder="1"/>
    <xf numFmtId="0" fontId="29" fillId="31" borderId="63" xfId="0" applyFont="1" applyFill="1" applyBorder="1" applyAlignment="1" applyProtection="1">
      <alignment horizontal="center" vertical="center" wrapText="1"/>
      <protection locked="0"/>
    </xf>
    <xf numFmtId="0" fontId="28" fillId="0" borderId="63" xfId="0" applyFont="1" applyBorder="1" applyAlignment="1">
      <alignment horizontal="center" vertical="center" wrapText="1"/>
    </xf>
    <xf numFmtId="0" fontId="29" fillId="28" borderId="63" xfId="0" applyFont="1" applyFill="1" applyBorder="1" applyAlignment="1">
      <alignment horizontal="center" vertical="center" wrapText="1"/>
    </xf>
    <xf numFmtId="0" fontId="28" fillId="28" borderId="63" xfId="0" applyFont="1" applyFill="1" applyBorder="1" applyAlignment="1">
      <alignment horizontal="center" vertical="center" wrapText="1"/>
    </xf>
    <xf numFmtId="0" fontId="45" fillId="28" borderId="78" xfId="0" applyFont="1" applyFill="1" applyBorder="1" applyAlignment="1">
      <alignment horizontal="right" vertical="center" wrapText="1"/>
    </xf>
    <xf numFmtId="0" fontId="45" fillId="28" borderId="66" xfId="0" applyFont="1" applyFill="1" applyBorder="1" applyAlignment="1">
      <alignment horizontal="right" vertical="center" wrapText="1"/>
    </xf>
    <xf numFmtId="0" fontId="44" fillId="24" borderId="49" xfId="0" applyFont="1" applyFill="1" applyBorder="1" applyAlignment="1">
      <alignment vertical="center" wrapText="1"/>
    </xf>
    <xf numFmtId="0" fontId="44" fillId="24" borderId="33" xfId="0" applyFont="1" applyFill="1" applyBorder="1" applyAlignment="1">
      <alignment vertical="center" wrapText="1"/>
    </xf>
    <xf numFmtId="0" fontId="0" fillId="31" borderId="70" xfId="0" applyFill="1" applyBorder="1" applyAlignment="1" applyProtection="1">
      <alignment horizontal="justify" vertical="top" wrapText="1"/>
      <protection locked="0"/>
    </xf>
    <xf numFmtId="0" fontId="60" fillId="29" borderId="146" xfId="0" applyFont="1" applyFill="1" applyBorder="1" applyAlignment="1">
      <alignment horizontal="center" vertical="center" wrapText="1"/>
    </xf>
    <xf numFmtId="0" fontId="60" fillId="29" borderId="42" xfId="0" applyFont="1" applyFill="1" applyBorder="1" applyAlignment="1">
      <alignment horizontal="center" vertical="center" wrapText="1"/>
    </xf>
    <xf numFmtId="0" fontId="60" fillId="29" borderId="43" xfId="0" applyFont="1" applyFill="1" applyBorder="1" applyAlignment="1">
      <alignment horizontal="center" vertical="center" wrapText="1"/>
    </xf>
    <xf numFmtId="0" fontId="0" fillId="28" borderId="0" xfId="0" applyFill="1" applyAlignment="1">
      <alignment vertical="center" wrapText="1"/>
    </xf>
    <xf numFmtId="0" fontId="0" fillId="31" borderId="66" xfId="0" applyFill="1" applyBorder="1" applyAlignment="1" applyProtection="1">
      <alignment horizontal="justify" vertical="top" wrapText="1"/>
      <protection locked="0"/>
    </xf>
    <xf numFmtId="165" fontId="48" fillId="0" borderId="0" xfId="0" applyNumberFormat="1" applyFont="1" applyAlignment="1">
      <alignment horizontal="center" vertical="center"/>
    </xf>
    <xf numFmtId="169" fontId="42" fillId="0" borderId="17" xfId="0" applyNumberFormat="1" applyFont="1" applyBorder="1" applyAlignment="1">
      <alignment horizontal="center" vertical="center" wrapText="1"/>
    </xf>
  </cellXfs>
  <cellStyles count="44">
    <cellStyle name="20% - 輔色1" xfId="1" xr:uid="{00000000-0005-0000-0000-000000000000}"/>
    <cellStyle name="20% - 輔色2" xfId="2" xr:uid="{00000000-0005-0000-0000-000001000000}"/>
    <cellStyle name="20% - 輔色3" xfId="3" xr:uid="{00000000-0005-0000-0000-000002000000}"/>
    <cellStyle name="20% - 輔色4" xfId="4" xr:uid="{00000000-0005-0000-0000-000003000000}"/>
    <cellStyle name="20% - 輔色5" xfId="5" xr:uid="{00000000-0005-0000-0000-000004000000}"/>
    <cellStyle name="20% - 輔色6" xfId="6" xr:uid="{00000000-0005-0000-0000-000005000000}"/>
    <cellStyle name="40% - 輔色1" xfId="7" xr:uid="{00000000-0005-0000-0000-000006000000}"/>
    <cellStyle name="40% - 輔色2" xfId="8" xr:uid="{00000000-0005-0000-0000-000007000000}"/>
    <cellStyle name="40% - 輔色3" xfId="9" xr:uid="{00000000-0005-0000-0000-000008000000}"/>
    <cellStyle name="40% - 輔色4" xfId="10" xr:uid="{00000000-0005-0000-0000-000009000000}"/>
    <cellStyle name="40% - 輔色5" xfId="11" xr:uid="{00000000-0005-0000-0000-00000A000000}"/>
    <cellStyle name="40% - 輔色6" xfId="12" xr:uid="{00000000-0005-0000-0000-00000B000000}"/>
    <cellStyle name="60% - 輔色1" xfId="13" xr:uid="{00000000-0005-0000-0000-00000C000000}"/>
    <cellStyle name="60% - 輔色2" xfId="14" xr:uid="{00000000-0005-0000-0000-00000D000000}"/>
    <cellStyle name="60% - 輔色3" xfId="15" xr:uid="{00000000-0005-0000-0000-00000E000000}"/>
    <cellStyle name="60% - 輔色4" xfId="16" xr:uid="{00000000-0005-0000-0000-00000F000000}"/>
    <cellStyle name="60% - 輔色5" xfId="17" xr:uid="{00000000-0005-0000-0000-000010000000}"/>
    <cellStyle name="60% - 輔色6" xfId="18" xr:uid="{00000000-0005-0000-0000-000011000000}"/>
    <cellStyle name="Normal" xfId="0" builtinId="0"/>
    <cellStyle name="Percent" xfId="19" builtinId="5"/>
    <cellStyle name="中等" xfId="20" xr:uid="{00000000-0005-0000-0000-000014000000}"/>
    <cellStyle name="備註" xfId="21" xr:uid="{00000000-0005-0000-0000-000015000000}"/>
    <cellStyle name="備註 2" xfId="43" xr:uid="{00000000-0005-0000-0000-000015000000}"/>
    <cellStyle name="合計" xfId="22" xr:uid="{00000000-0005-0000-0000-000016000000}"/>
    <cellStyle name="壞" xfId="23" xr:uid="{00000000-0005-0000-0000-000017000000}"/>
    <cellStyle name="好" xfId="24" xr:uid="{00000000-0005-0000-0000-000018000000}"/>
    <cellStyle name="標題" xfId="25" xr:uid="{00000000-0005-0000-0000-000019000000}"/>
    <cellStyle name="標題 1" xfId="26" xr:uid="{00000000-0005-0000-0000-00001A000000}"/>
    <cellStyle name="標題 2" xfId="27" xr:uid="{00000000-0005-0000-0000-00001B000000}"/>
    <cellStyle name="標題 3" xfId="28" xr:uid="{00000000-0005-0000-0000-00001C000000}"/>
    <cellStyle name="標題 4" xfId="29" xr:uid="{00000000-0005-0000-0000-00001D000000}"/>
    <cellStyle name="檢查儲存格" xfId="30" xr:uid="{00000000-0005-0000-0000-00001E000000}"/>
    <cellStyle name="計算方式" xfId="31" xr:uid="{00000000-0005-0000-0000-00001F000000}"/>
    <cellStyle name="說明文字" xfId="32" xr:uid="{00000000-0005-0000-0000-000020000000}"/>
    <cellStyle name="警告文字" xfId="33" xr:uid="{00000000-0005-0000-0000-000021000000}"/>
    <cellStyle name="輔色1" xfId="34" xr:uid="{00000000-0005-0000-0000-000022000000}"/>
    <cellStyle name="輔色2" xfId="35" xr:uid="{00000000-0005-0000-0000-000023000000}"/>
    <cellStyle name="輔色3" xfId="36" xr:uid="{00000000-0005-0000-0000-000024000000}"/>
    <cellStyle name="輔色4" xfId="37" xr:uid="{00000000-0005-0000-0000-000025000000}"/>
    <cellStyle name="輔色5" xfId="38" xr:uid="{00000000-0005-0000-0000-000026000000}"/>
    <cellStyle name="輔色6" xfId="39" xr:uid="{00000000-0005-0000-0000-000027000000}"/>
    <cellStyle name="輸入" xfId="40" xr:uid="{00000000-0005-0000-0000-000028000000}"/>
    <cellStyle name="輸出" xfId="41" xr:uid="{00000000-0005-0000-0000-000029000000}"/>
    <cellStyle name="連結的儲存格" xfId="42" xr:uid="{00000000-0005-0000-0000-00002A000000}"/>
  </cellStyles>
  <dxfs count="1">
    <dxf>
      <font>
        <b/>
        <i val="0"/>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manualLayout>
          <c:layoutTarget val="inner"/>
          <c:xMode val="edge"/>
          <c:yMode val="edge"/>
          <c:x val="0.17878792287817702"/>
          <c:y val="0.38920022831979234"/>
          <c:w val="0.7828284758790236"/>
          <c:h val="0.45437730004798715"/>
        </c:manualLayout>
      </c:layout>
      <c:barChart>
        <c:barDir val="col"/>
        <c:grouping val="stacked"/>
        <c:varyColors val="0"/>
        <c:ser>
          <c:idx val="0"/>
          <c:order val="0"/>
          <c:tx>
            <c:strRef>
              <c:f>'Result and Graph'!$A$25</c:f>
              <c:strCache>
                <c:ptCount val="1"/>
                <c:pt idx="0">
                  <c:v>Credits Achieved in the Provisional Assessment</c:v>
                </c:pt>
              </c:strCache>
            </c:strRef>
          </c:tx>
          <c:spPr>
            <a:solidFill>
              <a:schemeClr val="accent4">
                <a:lumMod val="75000"/>
              </a:schemeClr>
            </a:solidFill>
            <a:ln>
              <a:solidFill>
                <a:schemeClr val="tx1"/>
              </a:solidFill>
            </a:ln>
          </c:spPr>
          <c:invertIfNegative val="0"/>
          <c:cat>
            <c:strRef>
              <c:f>'Result and Graph'!$A$6:$A$11</c:f>
              <c:strCache>
                <c:ptCount val="6"/>
                <c:pt idx="0">
                  <c:v>Site Aspects</c:v>
                </c:pt>
                <c:pt idx="1">
                  <c:v>Materials Aspects</c:v>
                </c:pt>
                <c:pt idx="2">
                  <c:v>Energy Use</c:v>
                </c:pt>
                <c:pt idx="3">
                  <c:v>Water Use</c:v>
                </c:pt>
                <c:pt idx="4">
                  <c:v>Indoor Environmental Quality</c:v>
                </c:pt>
                <c:pt idx="5">
                  <c:v>Innovations and Additions</c:v>
                </c:pt>
              </c:strCache>
            </c:strRef>
          </c:cat>
          <c:val>
            <c:numRef>
              <c:f>'Result and Graph'!$C$6:$C$11</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BD3D-4B8A-9BD5-5DA53EC1BF46}"/>
            </c:ext>
          </c:extLst>
        </c:ser>
        <c:dLbls>
          <c:showLegendKey val="0"/>
          <c:showVal val="0"/>
          <c:showCatName val="0"/>
          <c:showSerName val="0"/>
          <c:showPercent val="0"/>
          <c:showBubbleSize val="0"/>
        </c:dLbls>
        <c:gapWidth val="150"/>
        <c:overlap val="100"/>
        <c:axId val="116564736"/>
        <c:axId val="116566272"/>
      </c:barChart>
      <c:catAx>
        <c:axId val="116564736"/>
        <c:scaling>
          <c:orientation val="minMax"/>
        </c:scaling>
        <c:delete val="0"/>
        <c:axPos val="b"/>
        <c:numFmt formatCode="General" sourceLinked="1"/>
        <c:majorTickMark val="out"/>
        <c:minorTickMark val="none"/>
        <c:tickLblPos val="nextTo"/>
        <c:txPr>
          <a:bodyPr rot="0" vert="horz"/>
          <a:lstStyle/>
          <a:p>
            <a:pPr>
              <a:defRPr sz="800" b="0" i="0" u="none" strike="noStrike" baseline="0">
                <a:solidFill>
                  <a:srgbClr val="000000"/>
                </a:solidFill>
                <a:latin typeface="Arial"/>
                <a:ea typeface="Arial"/>
                <a:cs typeface="Arial"/>
              </a:defRPr>
            </a:pPr>
            <a:endParaRPr lang="en-US"/>
          </a:p>
        </c:txPr>
        <c:crossAx val="116566272"/>
        <c:crosses val="autoZero"/>
        <c:auto val="1"/>
        <c:lblAlgn val="ctr"/>
        <c:lblOffset val="100"/>
        <c:tickLblSkip val="1"/>
        <c:tickMarkSkip val="1"/>
        <c:noMultiLvlLbl val="0"/>
      </c:catAx>
      <c:valAx>
        <c:axId val="116566272"/>
        <c:scaling>
          <c:orientation val="minMax"/>
        </c:scaling>
        <c:delete val="0"/>
        <c:axPos val="l"/>
        <c:majorGridlines>
          <c:spPr>
            <a:ln>
              <a:solidFill>
                <a:schemeClr val="tx1">
                  <a:lumMod val="95000"/>
                  <a:lumOff val="5000"/>
                </a:schemeClr>
              </a:solidFill>
            </a:ln>
          </c:spPr>
        </c:majorGridlines>
        <c:title>
          <c:tx>
            <c:rich>
              <a:bodyPr/>
              <a:lstStyle/>
              <a:p>
                <a:pPr>
                  <a:defRPr sz="1100" b="1" i="0" u="none" strike="noStrike" baseline="0">
                    <a:solidFill>
                      <a:srgbClr val="000000"/>
                    </a:solidFill>
                    <a:latin typeface="Arial"/>
                    <a:ea typeface="Arial"/>
                    <a:cs typeface="Arial"/>
                  </a:defRPr>
                </a:pPr>
                <a:r>
                  <a:rPr lang="en-US"/>
                  <a:t>No. of Credits</a:t>
                </a:r>
              </a:p>
            </c:rich>
          </c:tx>
          <c:layout>
            <c:manualLayout>
              <c:xMode val="edge"/>
              <c:yMode val="edge"/>
              <c:x val="4.5081916627641459E-2"/>
              <c:y val="0.36385599687363024"/>
            </c:manualLayout>
          </c:layout>
          <c:overlay val="0"/>
          <c:spPr>
            <a:noFill/>
            <a:ln w="25400">
              <a:noFill/>
            </a:ln>
          </c:spPr>
        </c:title>
        <c:numFmt formatCode="0.0" sourceLinked="1"/>
        <c:majorTickMark val="out"/>
        <c:minorTickMark val="none"/>
        <c:tickLblPos val="nextTo"/>
        <c:spPr>
          <a:ln>
            <a:solidFill>
              <a:schemeClr val="tx1">
                <a:lumMod val="95000"/>
                <a:lumOff val="5000"/>
              </a:schemeClr>
            </a:solidFill>
          </a:ln>
        </c:spPr>
        <c:txPr>
          <a:bodyPr rot="0" vert="horz"/>
          <a:lstStyle/>
          <a:p>
            <a:pPr>
              <a:defRPr sz="1000" b="0" i="0" u="none" strike="noStrike" baseline="0">
                <a:solidFill>
                  <a:srgbClr val="000000"/>
                </a:solidFill>
                <a:latin typeface="Arial"/>
                <a:ea typeface="Arial"/>
                <a:cs typeface="Arial"/>
              </a:defRPr>
            </a:pPr>
            <a:endParaRPr lang="en-US"/>
          </a:p>
        </c:txPr>
        <c:crossAx val="116564736"/>
        <c:crosses val="autoZero"/>
        <c:crossBetween val="between"/>
      </c:valAx>
      <c:spPr>
        <a:solidFill>
          <a:schemeClr val="bg1"/>
        </a:solidFill>
        <a:ln>
          <a:solidFill>
            <a:schemeClr val="tx1">
              <a:lumMod val="95000"/>
              <a:lumOff val="5000"/>
            </a:schemeClr>
          </a:solidFill>
        </a:ln>
      </c:spPr>
    </c:plotArea>
    <c:legend>
      <c:legendPos val="r"/>
      <c:layout>
        <c:manualLayout>
          <c:xMode val="edge"/>
          <c:yMode val="edge"/>
          <c:x val="0.46749712302559687"/>
          <c:y val="9.0543259557344061E-2"/>
          <c:w val="0.5242054286782617"/>
          <c:h val="7.6458752515090531E-2"/>
        </c:manualLayout>
      </c:layout>
      <c:overlay val="0"/>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0"/>
    <c:plotArea>
      <c:layout>
        <c:manualLayout>
          <c:layoutTarget val="inner"/>
          <c:xMode val="edge"/>
          <c:yMode val="edge"/>
          <c:x val="0.17758800895136753"/>
          <c:y val="0.43445742541529669"/>
          <c:w val="0.77682883060009955"/>
          <c:h val="0.42696678014951572"/>
        </c:manualLayout>
      </c:layout>
      <c:barChart>
        <c:barDir val="col"/>
        <c:grouping val="stacked"/>
        <c:varyColors val="0"/>
        <c:ser>
          <c:idx val="0"/>
          <c:order val="0"/>
          <c:tx>
            <c:strRef>
              <c:f>'Result and Graph'!$A$25</c:f>
              <c:strCache>
                <c:ptCount val="1"/>
                <c:pt idx="0">
                  <c:v>Credits Achieved in the Provisional Assessment</c:v>
                </c:pt>
              </c:strCache>
            </c:strRef>
          </c:tx>
          <c:spPr>
            <a:solidFill>
              <a:schemeClr val="accent4">
                <a:lumMod val="75000"/>
              </a:schemeClr>
            </a:solidFill>
            <a:ln>
              <a:solidFill>
                <a:schemeClr val="tx1"/>
              </a:solidFill>
            </a:ln>
          </c:spPr>
          <c:invertIfNegative val="0"/>
          <c:cat>
            <c:strRef>
              <c:f>'Result and Graph'!$A$6:$A$11</c:f>
              <c:strCache>
                <c:ptCount val="6"/>
                <c:pt idx="0">
                  <c:v>Site Aspects</c:v>
                </c:pt>
                <c:pt idx="1">
                  <c:v>Materials Aspects</c:v>
                </c:pt>
                <c:pt idx="2">
                  <c:v>Energy Use</c:v>
                </c:pt>
                <c:pt idx="3">
                  <c:v>Water Use</c:v>
                </c:pt>
                <c:pt idx="4">
                  <c:v>Indoor Environmental Quality</c:v>
                </c:pt>
                <c:pt idx="5">
                  <c:v>Innovations and Additions</c:v>
                </c:pt>
              </c:strCache>
            </c:strRef>
          </c:cat>
          <c:val>
            <c:numRef>
              <c:f>'Result and Graph'!$C$6:$C$11</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EF89-4C75-8CCB-48448275FEEB}"/>
            </c:ext>
          </c:extLst>
        </c:ser>
        <c:ser>
          <c:idx val="1"/>
          <c:order val="1"/>
          <c:tx>
            <c:v>Credits Not Achieved</c:v>
          </c:tx>
          <c:spPr>
            <a:solidFill>
              <a:schemeClr val="accent2">
                <a:lumMod val="75000"/>
              </a:schemeClr>
            </a:solidFill>
            <a:ln>
              <a:solidFill>
                <a:schemeClr val="tx1"/>
              </a:solidFill>
            </a:ln>
          </c:spPr>
          <c:invertIfNegative val="0"/>
          <c:cat>
            <c:strRef>
              <c:f>'Result and Graph'!$A$6:$A$11</c:f>
              <c:strCache>
                <c:ptCount val="6"/>
                <c:pt idx="0">
                  <c:v>Site Aspects</c:v>
                </c:pt>
                <c:pt idx="1">
                  <c:v>Materials Aspects</c:v>
                </c:pt>
                <c:pt idx="2">
                  <c:v>Energy Use</c:v>
                </c:pt>
                <c:pt idx="3">
                  <c:v>Water Use</c:v>
                </c:pt>
                <c:pt idx="4">
                  <c:v>Indoor Environmental Quality</c:v>
                </c:pt>
                <c:pt idx="5">
                  <c:v>Innovations and Additions</c:v>
                </c:pt>
              </c:strCache>
            </c:strRef>
          </c:cat>
          <c:val>
            <c:numRef>
              <c:f>'Result and Graph'!$D$6:$D$11</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EF89-4C75-8CCB-48448275FEEB}"/>
            </c:ext>
          </c:extLst>
        </c:ser>
        <c:dLbls>
          <c:showLegendKey val="0"/>
          <c:showVal val="0"/>
          <c:showCatName val="0"/>
          <c:showSerName val="0"/>
          <c:showPercent val="0"/>
          <c:showBubbleSize val="0"/>
        </c:dLbls>
        <c:gapWidth val="150"/>
        <c:overlap val="100"/>
        <c:axId val="119249920"/>
        <c:axId val="120013568"/>
      </c:barChart>
      <c:catAx>
        <c:axId val="119249920"/>
        <c:scaling>
          <c:orientation val="minMax"/>
        </c:scaling>
        <c:delete val="0"/>
        <c:axPos val="b"/>
        <c:numFmt formatCode="General" sourceLinked="1"/>
        <c:majorTickMark val="in"/>
        <c:minorTickMark val="none"/>
        <c:tickLblPos val="nextTo"/>
        <c:txPr>
          <a:bodyPr rot="0" vert="horz"/>
          <a:lstStyle/>
          <a:p>
            <a:pPr>
              <a:defRPr sz="800" b="0" i="0" u="none" strike="noStrike" baseline="0">
                <a:solidFill>
                  <a:srgbClr val="000000"/>
                </a:solidFill>
                <a:latin typeface="Arial"/>
                <a:ea typeface="Arial"/>
                <a:cs typeface="Arial"/>
              </a:defRPr>
            </a:pPr>
            <a:endParaRPr lang="en-US"/>
          </a:p>
        </c:txPr>
        <c:crossAx val="120013568"/>
        <c:crosses val="autoZero"/>
        <c:auto val="1"/>
        <c:lblAlgn val="ctr"/>
        <c:lblOffset val="100"/>
        <c:tickLblSkip val="1"/>
        <c:tickMarkSkip val="1"/>
        <c:noMultiLvlLbl val="0"/>
      </c:catAx>
      <c:valAx>
        <c:axId val="120013568"/>
        <c:scaling>
          <c:orientation val="minMax"/>
          <c:min val="0"/>
        </c:scaling>
        <c:delete val="0"/>
        <c:axPos val="l"/>
        <c:majorGridlines/>
        <c:title>
          <c:tx>
            <c:rich>
              <a:bodyPr/>
              <a:lstStyle/>
              <a:p>
                <a:pPr>
                  <a:defRPr sz="1100" b="1" i="0" u="none" strike="noStrike" baseline="0">
                    <a:solidFill>
                      <a:srgbClr val="000000"/>
                    </a:solidFill>
                    <a:latin typeface="Arial"/>
                    <a:ea typeface="Arial"/>
                    <a:cs typeface="Arial"/>
                  </a:defRPr>
                </a:pPr>
                <a:r>
                  <a:rPr lang="en-US"/>
                  <a:t>No. of Credits</a:t>
                </a:r>
              </a:p>
            </c:rich>
          </c:tx>
          <c:layout>
            <c:manualLayout>
              <c:xMode val="edge"/>
              <c:yMode val="edge"/>
              <c:x val="4.5353505123786136E-2"/>
              <c:y val="0.43228399480367985"/>
            </c:manualLayout>
          </c:layout>
          <c:overlay val="0"/>
          <c:spPr>
            <a:noFill/>
            <a:ln w="25400">
              <a:noFill/>
            </a:ln>
          </c:spPr>
        </c:title>
        <c:numFmt formatCode="0.0" sourceLinked="1"/>
        <c:majorTickMark val="in"/>
        <c:minorTickMark val="none"/>
        <c:tickLblPos val="nextTo"/>
        <c:txPr>
          <a:bodyPr rot="0" vert="horz"/>
          <a:lstStyle/>
          <a:p>
            <a:pPr>
              <a:defRPr sz="1000" b="0" i="0" u="none" strike="noStrike" baseline="0">
                <a:solidFill>
                  <a:srgbClr val="000000"/>
                </a:solidFill>
                <a:latin typeface="Arial"/>
                <a:ea typeface="Arial"/>
                <a:cs typeface="Arial"/>
              </a:defRPr>
            </a:pPr>
            <a:endParaRPr lang="en-US"/>
          </a:p>
        </c:txPr>
        <c:crossAx val="119249920"/>
        <c:crosses val="autoZero"/>
        <c:crossBetween val="between"/>
      </c:valAx>
    </c:plotArea>
    <c:legend>
      <c:legendPos val="b"/>
      <c:layout>
        <c:manualLayout>
          <c:xMode val="edge"/>
          <c:yMode val="edge"/>
          <c:x val="0.27916134336418957"/>
          <c:y val="7.0707282801770993E-2"/>
          <c:w val="0.66579333546609432"/>
          <c:h val="0.11717192926641745"/>
        </c:manualLayout>
      </c:layout>
      <c:overlay val="0"/>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ln>
      <a:solidFill>
        <a:schemeClr val="tx1">
          <a:lumMod val="50000"/>
          <a:lumOff val="50000"/>
        </a:schemeClr>
      </a:solidFill>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a:t>Fig 3. Overall Credit Status</a:t>
            </a:r>
          </a:p>
        </c:rich>
      </c:tx>
      <c:layout>
        <c:manualLayout>
          <c:xMode val="edge"/>
          <c:yMode val="edge"/>
          <c:x val="3.1890624327696744E-2"/>
          <c:y val="3.3240886555847185E-2"/>
        </c:manualLayout>
      </c:layout>
      <c:overlay val="0"/>
      <c:spPr>
        <a:noFill/>
        <a:ln w="25400">
          <a:noFill/>
        </a:ln>
      </c:spPr>
    </c:title>
    <c:autoTitleDeleted val="0"/>
    <c:plotArea>
      <c:layout>
        <c:manualLayout>
          <c:layoutTarget val="inner"/>
          <c:xMode val="edge"/>
          <c:yMode val="edge"/>
          <c:x val="0.27363818252226668"/>
          <c:y val="0.32752299314386257"/>
          <c:w val="0.61433565681339009"/>
          <c:h val="0.50973746010280563"/>
        </c:manualLayout>
      </c:layout>
      <c:barChart>
        <c:barDir val="col"/>
        <c:grouping val="stacked"/>
        <c:varyColors val="0"/>
        <c:ser>
          <c:idx val="0"/>
          <c:order val="0"/>
          <c:tx>
            <c:strRef>
              <c:f>'Result and Graph'!$A$25</c:f>
              <c:strCache>
                <c:ptCount val="1"/>
                <c:pt idx="0">
                  <c:v>Credits Achieved in the Provisional Assessment</c:v>
                </c:pt>
              </c:strCache>
            </c:strRef>
          </c:tx>
          <c:spPr>
            <a:solidFill>
              <a:srgbClr val="00FF00"/>
            </a:solidFill>
            <a:ln w="12700">
              <a:solidFill>
                <a:srgbClr val="000000"/>
              </a:solidFill>
              <a:prstDash val="solid"/>
            </a:ln>
          </c:spPr>
          <c:invertIfNegative val="0"/>
          <c:cat>
            <c:strRef>
              <c:f>'Result and Graph'!$F$12</c:f>
              <c:strCache>
                <c:ptCount val="1"/>
                <c:pt idx="0">
                  <c:v>Overall Performance</c:v>
                </c:pt>
              </c:strCache>
            </c:strRef>
          </c:cat>
          <c:val>
            <c:numRef>
              <c:f>'Result and Graph'!$G$12</c:f>
              <c:numCache>
                <c:formatCode>0.0_ </c:formatCode>
                <c:ptCount val="1"/>
                <c:pt idx="0">
                  <c:v>0</c:v>
                </c:pt>
              </c:numCache>
            </c:numRef>
          </c:val>
          <c:extLst>
            <c:ext xmlns:c16="http://schemas.microsoft.com/office/drawing/2014/chart" uri="{C3380CC4-5D6E-409C-BE32-E72D297353CC}">
              <c16:uniqueId val="{00000000-AD43-4D5A-8368-D1527A38DAE9}"/>
            </c:ext>
          </c:extLst>
        </c:ser>
        <c:dLbls>
          <c:showLegendKey val="0"/>
          <c:showVal val="0"/>
          <c:showCatName val="0"/>
          <c:showSerName val="0"/>
          <c:showPercent val="0"/>
          <c:showBubbleSize val="0"/>
        </c:dLbls>
        <c:gapWidth val="0"/>
        <c:overlap val="100"/>
        <c:axId val="122977664"/>
        <c:axId val="123008128"/>
      </c:barChart>
      <c:scatterChart>
        <c:scatterStyle val="lineMarker"/>
        <c:varyColors val="0"/>
        <c:ser>
          <c:idx val="3"/>
          <c:order val="1"/>
          <c:tx>
            <c:strRef>
              <c:f>'Result and Graph'!$A$19</c:f>
              <c:strCache>
                <c:ptCount val="1"/>
                <c:pt idx="0">
                  <c:v>Bronze</c:v>
                </c:pt>
              </c:strCache>
            </c:strRef>
          </c:tx>
          <c:spPr>
            <a:ln w="25400">
              <a:solidFill>
                <a:srgbClr val="FF9900"/>
              </a:solidFill>
              <a:prstDash val="solid"/>
            </a:ln>
          </c:spPr>
          <c:marker>
            <c:symbol val="none"/>
          </c:marker>
          <c:dPt>
            <c:idx val="1"/>
            <c:bubble3D val="0"/>
            <c:extLst>
              <c:ext xmlns:c16="http://schemas.microsoft.com/office/drawing/2014/chart" uri="{C3380CC4-5D6E-409C-BE32-E72D297353CC}">
                <c16:uniqueId val="{00000001-AD43-4D5A-8368-D1527A38DAE9}"/>
              </c:ext>
            </c:extLst>
          </c:dPt>
          <c:dLbls>
            <c:dLbl>
              <c:idx val="0"/>
              <c:delete val="1"/>
              <c:extLst>
                <c:ext xmlns:c15="http://schemas.microsoft.com/office/drawing/2012/chart" uri="{CE6537A1-D6FC-4f65-9D91-7224C49458BB}"/>
                <c:ext xmlns:c16="http://schemas.microsoft.com/office/drawing/2014/chart" uri="{C3380CC4-5D6E-409C-BE32-E72D297353CC}">
                  <c16:uniqueId val="{00000002-AD43-4D5A-8368-D1527A38DAE9}"/>
                </c:ext>
              </c:extLst>
            </c:dLbl>
            <c:dLbl>
              <c:idx val="1"/>
              <c:layout>
                <c:manualLayout>
                  <c:x val="1.9597846879309579E-2"/>
                  <c:y val="-4.4815727673929958E-4"/>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AD43-4D5A-8368-D1527A38DAE9}"/>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Graph'!$B$19:$C$19</c:f>
              <c:numCache>
                <c:formatCode>0.0</c:formatCode>
                <c:ptCount val="2"/>
                <c:pt idx="0">
                  <c:v>40</c:v>
                </c:pt>
                <c:pt idx="1">
                  <c:v>40</c:v>
                </c:pt>
              </c:numCache>
            </c:numRef>
          </c:yVal>
          <c:smooth val="0"/>
          <c:extLst>
            <c:ext xmlns:c16="http://schemas.microsoft.com/office/drawing/2014/chart" uri="{C3380CC4-5D6E-409C-BE32-E72D297353CC}">
              <c16:uniqueId val="{00000003-AD43-4D5A-8368-D1527A38DAE9}"/>
            </c:ext>
          </c:extLst>
        </c:ser>
        <c:ser>
          <c:idx val="4"/>
          <c:order val="2"/>
          <c:tx>
            <c:strRef>
              <c:f>'Result and Graph'!$A$20</c:f>
              <c:strCache>
                <c:ptCount val="1"/>
                <c:pt idx="0">
                  <c:v>Silver</c:v>
                </c:pt>
              </c:strCache>
            </c:strRef>
          </c:tx>
          <c:spPr>
            <a:ln w="25400">
              <a:solidFill>
                <a:srgbClr val="C0C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AD43-4D5A-8368-D1527A38DAE9}"/>
                </c:ext>
              </c:extLst>
            </c:dLbl>
            <c:dLbl>
              <c:idx val="1"/>
              <c:layout>
                <c:manualLayout>
                  <c:x val="2.7271453356466035E-2"/>
                  <c:y val="1.1989443147861364E-2"/>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AD43-4D5A-8368-D1527A38DAE9}"/>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Graph'!$B$20:$C$20</c:f>
              <c:numCache>
                <c:formatCode>0.0</c:formatCode>
                <c:ptCount val="2"/>
                <c:pt idx="0">
                  <c:v>55</c:v>
                </c:pt>
                <c:pt idx="1">
                  <c:v>55</c:v>
                </c:pt>
              </c:numCache>
            </c:numRef>
          </c:yVal>
          <c:smooth val="0"/>
          <c:extLst>
            <c:ext xmlns:c16="http://schemas.microsoft.com/office/drawing/2014/chart" uri="{C3380CC4-5D6E-409C-BE32-E72D297353CC}">
              <c16:uniqueId val="{00000006-AD43-4D5A-8368-D1527A38DAE9}"/>
            </c:ext>
          </c:extLst>
        </c:ser>
        <c:ser>
          <c:idx val="5"/>
          <c:order val="3"/>
          <c:tx>
            <c:strRef>
              <c:f>'Result and Graph'!$A$21</c:f>
              <c:strCache>
                <c:ptCount val="1"/>
                <c:pt idx="0">
                  <c:v>Gold</c:v>
                </c:pt>
              </c:strCache>
            </c:strRef>
          </c:tx>
          <c:spPr>
            <a:ln w="25400">
              <a:solidFill>
                <a:srgbClr val="FFFF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7-AD43-4D5A-8368-D1527A38DAE9}"/>
                </c:ext>
              </c:extLst>
            </c:dLbl>
            <c:dLbl>
              <c:idx val="1"/>
              <c:layout>
                <c:manualLayout>
                  <c:x val="2.5479113839583612E-2"/>
                  <c:y val="1.1664303734886325E-2"/>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AD43-4D5A-8368-D1527A38DAE9}"/>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Graph'!$B$21:$C$21</c:f>
              <c:numCache>
                <c:formatCode>0.0</c:formatCode>
                <c:ptCount val="2"/>
                <c:pt idx="0">
                  <c:v>65</c:v>
                </c:pt>
                <c:pt idx="1">
                  <c:v>65</c:v>
                </c:pt>
              </c:numCache>
            </c:numRef>
          </c:yVal>
          <c:smooth val="0"/>
          <c:extLst>
            <c:ext xmlns:c16="http://schemas.microsoft.com/office/drawing/2014/chart" uri="{C3380CC4-5D6E-409C-BE32-E72D297353CC}">
              <c16:uniqueId val="{00000009-AD43-4D5A-8368-D1527A38DAE9}"/>
            </c:ext>
          </c:extLst>
        </c:ser>
        <c:ser>
          <c:idx val="6"/>
          <c:order val="4"/>
          <c:tx>
            <c:strRef>
              <c:f>'Result and Graph'!$A$22</c:f>
              <c:strCache>
                <c:ptCount val="1"/>
                <c:pt idx="0">
                  <c:v>Platinum</c:v>
                </c:pt>
              </c:strCache>
            </c:strRef>
          </c:tx>
          <c:spPr>
            <a:ln w="25400">
              <a:solidFill>
                <a:srgbClr val="80808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A-AD43-4D5A-8368-D1527A38DAE9}"/>
                </c:ext>
              </c:extLst>
            </c:dLbl>
            <c:dLbl>
              <c:idx val="1"/>
              <c:layout>
                <c:manualLayout>
                  <c:x val="1.6795453534409997E-2"/>
                  <c:y val="3.8691008499283849E-3"/>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AD43-4D5A-8368-D1527A38DAE9}"/>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Graph'!$B$22:$C$22</c:f>
              <c:numCache>
                <c:formatCode>0.0</c:formatCode>
                <c:ptCount val="2"/>
                <c:pt idx="0">
                  <c:v>75</c:v>
                </c:pt>
                <c:pt idx="1">
                  <c:v>75</c:v>
                </c:pt>
              </c:numCache>
            </c:numRef>
          </c:yVal>
          <c:smooth val="1"/>
          <c:extLst>
            <c:ext xmlns:c16="http://schemas.microsoft.com/office/drawing/2014/chart" uri="{C3380CC4-5D6E-409C-BE32-E72D297353CC}">
              <c16:uniqueId val="{0000000C-AD43-4D5A-8368-D1527A38DAE9}"/>
            </c:ext>
          </c:extLst>
        </c:ser>
        <c:dLbls>
          <c:showLegendKey val="0"/>
          <c:showVal val="0"/>
          <c:showCatName val="0"/>
          <c:showSerName val="0"/>
          <c:showPercent val="0"/>
          <c:showBubbleSize val="0"/>
        </c:dLbls>
        <c:axId val="122977664"/>
        <c:axId val="123008128"/>
      </c:scatterChart>
      <c:catAx>
        <c:axId val="122977664"/>
        <c:scaling>
          <c:orientation val="minMax"/>
        </c:scaling>
        <c:delete val="0"/>
        <c:axPos val="b"/>
        <c:numFmt formatCode="General"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23008128"/>
        <c:crossesAt val="0"/>
        <c:auto val="1"/>
        <c:lblAlgn val="ctr"/>
        <c:lblOffset val="100"/>
        <c:tickLblSkip val="1"/>
        <c:tickMarkSkip val="1"/>
        <c:noMultiLvlLbl val="0"/>
      </c:catAx>
      <c:valAx>
        <c:axId val="123008128"/>
        <c:scaling>
          <c:orientation val="minMax"/>
          <c:max val="100"/>
          <c:min val="0"/>
        </c:scaling>
        <c:delete val="0"/>
        <c:axPos val="l"/>
        <c:majorGridlines>
          <c:spPr>
            <a:ln w="3175">
              <a:solidFill>
                <a:srgbClr val="FFFFFF"/>
              </a:solidFill>
              <a:prstDash val="solid"/>
            </a:ln>
          </c:spPr>
        </c:majorGridlines>
        <c:title>
          <c:tx>
            <c:rich>
              <a:bodyPr/>
              <a:lstStyle/>
              <a:p>
                <a:pPr>
                  <a:defRPr sz="1200" b="0" i="0" u="none" strike="noStrike" baseline="0">
                    <a:solidFill>
                      <a:srgbClr val="000000"/>
                    </a:solidFill>
                    <a:latin typeface="Arial"/>
                    <a:ea typeface="Arial"/>
                    <a:cs typeface="Arial"/>
                  </a:defRPr>
                </a:pPr>
                <a:r>
                  <a:rPr lang="en-US"/>
                  <a:t>Weighted 
% of Credits</a:t>
                </a:r>
              </a:p>
            </c:rich>
          </c:tx>
          <c:layout>
            <c:manualLayout>
              <c:xMode val="edge"/>
              <c:yMode val="edge"/>
              <c:x val="5.2377479454412457E-2"/>
              <c:y val="0.44036162146398367"/>
            </c:manualLayout>
          </c:layout>
          <c:overlay val="0"/>
          <c:spPr>
            <a:noFill/>
            <a:ln w="25400">
              <a:noFill/>
            </a:ln>
          </c:spPr>
        </c:title>
        <c:numFmt formatCode="0.0_ "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22977664"/>
        <c:crosses val="autoZero"/>
        <c:crossBetween val="between"/>
        <c:majorUnit val="10"/>
      </c:valAx>
    </c:plotArea>
    <c:legend>
      <c:legendPos val="r"/>
      <c:legendEntry>
        <c:idx val="1"/>
        <c:delete val="1"/>
      </c:legendEntry>
      <c:legendEntry>
        <c:idx val="2"/>
        <c:delete val="1"/>
      </c:legendEntry>
      <c:legendEntry>
        <c:idx val="3"/>
        <c:delete val="1"/>
      </c:legendEntry>
      <c:legendEntry>
        <c:idx val="4"/>
        <c:delete val="1"/>
      </c:legendEntry>
      <c:layout>
        <c:manualLayout>
          <c:xMode val="edge"/>
          <c:yMode val="edge"/>
          <c:x val="0.32786885245901637"/>
          <c:y val="0.11666695829687956"/>
          <c:w val="0.66188524590163933"/>
          <c:h val="8.8889180519101774E-2"/>
        </c:manualLayout>
      </c:layout>
      <c:overlay val="0"/>
      <c:spPr>
        <a:solidFill>
          <a:srgbClr val="FFFFFF"/>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a:t>Fig 4. Site Aspects</a:t>
            </a:r>
          </a:p>
        </c:rich>
      </c:tx>
      <c:layout>
        <c:manualLayout>
          <c:xMode val="edge"/>
          <c:yMode val="edge"/>
          <c:x val="3.1890624327696744E-2"/>
          <c:y val="3.3240886555847185E-2"/>
        </c:manualLayout>
      </c:layout>
      <c:overlay val="0"/>
      <c:spPr>
        <a:noFill/>
        <a:ln w="25400">
          <a:noFill/>
        </a:ln>
      </c:spPr>
    </c:title>
    <c:autoTitleDeleted val="0"/>
    <c:plotArea>
      <c:layout>
        <c:manualLayout>
          <c:layoutTarget val="inner"/>
          <c:xMode val="edge"/>
          <c:yMode val="edge"/>
          <c:x val="0.27363818252226668"/>
          <c:y val="0.32752299314386257"/>
          <c:w val="0.61433565681339009"/>
          <c:h val="0.50973746010280563"/>
        </c:manualLayout>
      </c:layout>
      <c:barChart>
        <c:barDir val="col"/>
        <c:grouping val="stacked"/>
        <c:varyColors val="0"/>
        <c:ser>
          <c:idx val="0"/>
          <c:order val="0"/>
          <c:tx>
            <c:strRef>
              <c:f>'Result and Graph'!$A$25</c:f>
              <c:strCache>
                <c:ptCount val="1"/>
                <c:pt idx="0">
                  <c:v>Credits Achieved in the Provisional Assessment</c:v>
                </c:pt>
              </c:strCache>
            </c:strRef>
          </c:tx>
          <c:spPr>
            <a:solidFill>
              <a:srgbClr val="00FF00"/>
            </a:solidFill>
            <a:ln w="12700">
              <a:solidFill>
                <a:srgbClr val="000000"/>
              </a:solidFill>
              <a:prstDash val="solid"/>
            </a:ln>
          </c:spPr>
          <c:invertIfNegative val="0"/>
          <c:cat>
            <c:strRef>
              <c:f>'Result and Graph'!$A$6</c:f>
              <c:strCache>
                <c:ptCount val="1"/>
                <c:pt idx="0">
                  <c:v>Site Aspects</c:v>
                </c:pt>
              </c:strCache>
            </c:strRef>
          </c:cat>
          <c:val>
            <c:numRef>
              <c:f>'Result and Graph'!$C$6</c:f>
              <c:numCache>
                <c:formatCode>0.0</c:formatCode>
                <c:ptCount val="1"/>
                <c:pt idx="0">
                  <c:v>0</c:v>
                </c:pt>
              </c:numCache>
            </c:numRef>
          </c:val>
          <c:extLst>
            <c:ext xmlns:c16="http://schemas.microsoft.com/office/drawing/2014/chart" uri="{C3380CC4-5D6E-409C-BE32-E72D297353CC}">
              <c16:uniqueId val="{00000000-C4A0-4184-9ECA-56473B95BC23}"/>
            </c:ext>
          </c:extLst>
        </c:ser>
        <c:dLbls>
          <c:showLegendKey val="0"/>
          <c:showVal val="0"/>
          <c:showCatName val="0"/>
          <c:showSerName val="0"/>
          <c:showPercent val="0"/>
          <c:showBubbleSize val="0"/>
        </c:dLbls>
        <c:gapWidth val="0"/>
        <c:overlap val="100"/>
        <c:axId val="122750848"/>
        <c:axId val="122752384"/>
      </c:barChart>
      <c:scatterChart>
        <c:scatterStyle val="lineMarker"/>
        <c:varyColors val="0"/>
        <c:ser>
          <c:idx val="3"/>
          <c:order val="1"/>
          <c:tx>
            <c:strRef>
              <c:f>'Result and Graph'!$A$19</c:f>
              <c:strCache>
                <c:ptCount val="1"/>
                <c:pt idx="0">
                  <c:v>Bronze</c:v>
                </c:pt>
              </c:strCache>
            </c:strRef>
          </c:tx>
          <c:spPr>
            <a:ln w="25400">
              <a:solidFill>
                <a:srgbClr val="FF9900"/>
              </a:solidFill>
              <a:prstDash val="solid"/>
            </a:ln>
          </c:spPr>
          <c:marker>
            <c:symbol val="none"/>
          </c:marker>
          <c:dPt>
            <c:idx val="1"/>
            <c:bubble3D val="0"/>
            <c:extLst>
              <c:ext xmlns:c16="http://schemas.microsoft.com/office/drawing/2014/chart" uri="{C3380CC4-5D6E-409C-BE32-E72D297353CC}">
                <c16:uniqueId val="{00000001-C4A0-4184-9ECA-56473B95BC23}"/>
              </c:ext>
            </c:extLst>
          </c:dPt>
          <c:dLbls>
            <c:dLbl>
              <c:idx val="0"/>
              <c:delete val="1"/>
              <c:extLst>
                <c:ext xmlns:c15="http://schemas.microsoft.com/office/drawing/2012/chart" uri="{CE6537A1-D6FC-4f65-9D91-7224C49458BB}"/>
                <c:ext xmlns:c16="http://schemas.microsoft.com/office/drawing/2014/chart" uri="{C3380CC4-5D6E-409C-BE32-E72D297353CC}">
                  <c16:uniqueId val="{00000002-C4A0-4184-9ECA-56473B95BC23}"/>
                </c:ext>
              </c:extLst>
            </c:dLbl>
            <c:dLbl>
              <c:idx val="1"/>
              <c:layout>
                <c:manualLayout>
                  <c:x val="1.9597846879309579E-2"/>
                  <c:y val="-4.4815727673929958E-4"/>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C4A0-4184-9ECA-56473B95BC23}"/>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Graph'!$D$19:$E$19</c:f>
              <c:numCache>
                <c:formatCode>0.0</c:formatCode>
                <c:ptCount val="2"/>
                <c:pt idx="0">
                  <c:v>0</c:v>
                </c:pt>
                <c:pt idx="1">
                  <c:v>0</c:v>
                </c:pt>
              </c:numCache>
            </c:numRef>
          </c:yVal>
          <c:smooth val="0"/>
          <c:extLst>
            <c:ext xmlns:c16="http://schemas.microsoft.com/office/drawing/2014/chart" uri="{C3380CC4-5D6E-409C-BE32-E72D297353CC}">
              <c16:uniqueId val="{00000003-C4A0-4184-9ECA-56473B95BC23}"/>
            </c:ext>
          </c:extLst>
        </c:ser>
        <c:ser>
          <c:idx val="4"/>
          <c:order val="2"/>
          <c:tx>
            <c:strRef>
              <c:f>'Result and Graph'!$A$20</c:f>
              <c:strCache>
                <c:ptCount val="1"/>
                <c:pt idx="0">
                  <c:v>Silver</c:v>
                </c:pt>
              </c:strCache>
            </c:strRef>
          </c:tx>
          <c:spPr>
            <a:ln w="25400">
              <a:solidFill>
                <a:srgbClr val="C0C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C4A0-4184-9ECA-56473B95BC23}"/>
                </c:ext>
              </c:extLst>
            </c:dLbl>
            <c:dLbl>
              <c:idx val="1"/>
              <c:layout>
                <c:manualLayout>
                  <c:x val="2.7271453356466035E-2"/>
                  <c:y val="1.1989443147861364E-2"/>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C4A0-4184-9ECA-56473B95BC23}"/>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Graph'!$D$20:$E$20</c:f>
              <c:numCache>
                <c:formatCode>0.0</c:formatCode>
                <c:ptCount val="2"/>
                <c:pt idx="0">
                  <c:v>0</c:v>
                </c:pt>
                <c:pt idx="1">
                  <c:v>0</c:v>
                </c:pt>
              </c:numCache>
            </c:numRef>
          </c:yVal>
          <c:smooth val="0"/>
          <c:extLst>
            <c:ext xmlns:c16="http://schemas.microsoft.com/office/drawing/2014/chart" uri="{C3380CC4-5D6E-409C-BE32-E72D297353CC}">
              <c16:uniqueId val="{00000006-C4A0-4184-9ECA-56473B95BC23}"/>
            </c:ext>
          </c:extLst>
        </c:ser>
        <c:ser>
          <c:idx val="5"/>
          <c:order val="3"/>
          <c:tx>
            <c:strRef>
              <c:f>'Result and Graph'!$A$21</c:f>
              <c:strCache>
                <c:ptCount val="1"/>
                <c:pt idx="0">
                  <c:v>Gold</c:v>
                </c:pt>
              </c:strCache>
            </c:strRef>
          </c:tx>
          <c:spPr>
            <a:ln w="25400">
              <a:solidFill>
                <a:srgbClr val="FFFF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7-C4A0-4184-9ECA-56473B95BC23}"/>
                </c:ext>
              </c:extLst>
            </c:dLbl>
            <c:dLbl>
              <c:idx val="1"/>
              <c:layout>
                <c:manualLayout>
                  <c:x val="2.5479113839583612E-2"/>
                  <c:y val="1.1664303734886325E-2"/>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C4A0-4184-9ECA-56473B95BC23}"/>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Graph'!$D$21:$E$21</c:f>
              <c:numCache>
                <c:formatCode>0.0</c:formatCode>
                <c:ptCount val="2"/>
                <c:pt idx="0">
                  <c:v>0</c:v>
                </c:pt>
                <c:pt idx="1">
                  <c:v>0</c:v>
                </c:pt>
              </c:numCache>
            </c:numRef>
          </c:yVal>
          <c:smooth val="0"/>
          <c:extLst>
            <c:ext xmlns:c16="http://schemas.microsoft.com/office/drawing/2014/chart" uri="{C3380CC4-5D6E-409C-BE32-E72D297353CC}">
              <c16:uniqueId val="{00000009-C4A0-4184-9ECA-56473B95BC23}"/>
            </c:ext>
          </c:extLst>
        </c:ser>
        <c:ser>
          <c:idx val="6"/>
          <c:order val="4"/>
          <c:tx>
            <c:strRef>
              <c:f>'Result and Graph'!$A$22</c:f>
              <c:strCache>
                <c:ptCount val="1"/>
                <c:pt idx="0">
                  <c:v>Platinum</c:v>
                </c:pt>
              </c:strCache>
            </c:strRef>
          </c:tx>
          <c:spPr>
            <a:ln w="25400">
              <a:solidFill>
                <a:srgbClr val="80808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A-C4A0-4184-9ECA-56473B95BC23}"/>
                </c:ext>
              </c:extLst>
            </c:dLbl>
            <c:dLbl>
              <c:idx val="1"/>
              <c:layout>
                <c:manualLayout>
                  <c:x val="1.6795453534409997E-2"/>
                  <c:y val="3.8691008499283849E-3"/>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C4A0-4184-9ECA-56473B95BC23}"/>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Graph'!$D$22:$E$22</c:f>
              <c:numCache>
                <c:formatCode>0.0</c:formatCode>
                <c:ptCount val="2"/>
                <c:pt idx="0">
                  <c:v>0</c:v>
                </c:pt>
                <c:pt idx="1">
                  <c:v>0</c:v>
                </c:pt>
              </c:numCache>
            </c:numRef>
          </c:yVal>
          <c:smooth val="1"/>
          <c:extLst>
            <c:ext xmlns:c16="http://schemas.microsoft.com/office/drawing/2014/chart" uri="{C3380CC4-5D6E-409C-BE32-E72D297353CC}">
              <c16:uniqueId val="{0000000C-C4A0-4184-9ECA-56473B95BC23}"/>
            </c:ext>
          </c:extLst>
        </c:ser>
        <c:dLbls>
          <c:showLegendKey val="0"/>
          <c:showVal val="0"/>
          <c:showCatName val="0"/>
          <c:showSerName val="0"/>
          <c:showPercent val="0"/>
          <c:showBubbleSize val="0"/>
        </c:dLbls>
        <c:axId val="122750848"/>
        <c:axId val="122752384"/>
      </c:scatterChart>
      <c:catAx>
        <c:axId val="122750848"/>
        <c:scaling>
          <c:orientation val="minMax"/>
        </c:scaling>
        <c:delete val="0"/>
        <c:axPos val="b"/>
        <c:numFmt formatCode="General"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22752384"/>
        <c:crossesAt val="0"/>
        <c:auto val="1"/>
        <c:lblAlgn val="ctr"/>
        <c:lblOffset val="100"/>
        <c:tickLblSkip val="1"/>
        <c:tickMarkSkip val="1"/>
        <c:noMultiLvlLbl val="0"/>
      </c:catAx>
      <c:valAx>
        <c:axId val="122752384"/>
        <c:scaling>
          <c:orientation val="minMax"/>
          <c:max val="22"/>
          <c:min val="0"/>
        </c:scaling>
        <c:delete val="0"/>
        <c:axPos val="l"/>
        <c:majorGridlines>
          <c:spPr>
            <a:ln w="3175">
              <a:solidFill>
                <a:srgbClr val="FFFFFF"/>
              </a:solidFill>
              <a:prstDash val="solid"/>
            </a:ln>
          </c:spPr>
        </c:majorGridlines>
        <c:title>
          <c:tx>
            <c:rich>
              <a:bodyPr/>
              <a:lstStyle/>
              <a:p>
                <a:pPr>
                  <a:defRPr sz="1200" b="0" i="0" u="none" strike="noStrike" baseline="0">
                    <a:solidFill>
                      <a:srgbClr val="000000"/>
                    </a:solidFill>
                    <a:latin typeface="Arial"/>
                    <a:ea typeface="Arial"/>
                    <a:cs typeface="Arial"/>
                  </a:defRPr>
                </a:pPr>
                <a:r>
                  <a:rPr lang="en-US"/>
                  <a:t>No. of Credits</a:t>
                </a:r>
              </a:p>
            </c:rich>
          </c:tx>
          <c:layout>
            <c:manualLayout>
              <c:xMode val="edge"/>
              <c:yMode val="edge"/>
              <c:x val="8.5164364700314091E-2"/>
              <c:y val="0.42928113152522601"/>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22750848"/>
        <c:crosses val="autoZero"/>
        <c:crossBetween val="between"/>
        <c:majorUnit val="2"/>
      </c:valAx>
    </c:plotArea>
    <c:legend>
      <c:legendPos val="r"/>
      <c:legendEntry>
        <c:idx val="1"/>
        <c:delete val="1"/>
      </c:legendEntry>
      <c:legendEntry>
        <c:idx val="2"/>
        <c:delete val="1"/>
      </c:legendEntry>
      <c:legendEntry>
        <c:idx val="3"/>
        <c:delete val="1"/>
      </c:legendEntry>
      <c:legendEntry>
        <c:idx val="4"/>
        <c:delete val="1"/>
      </c:legendEntry>
      <c:layout>
        <c:manualLayout>
          <c:xMode val="edge"/>
          <c:yMode val="edge"/>
          <c:x val="0.36885245901639346"/>
          <c:y val="0.11666695829687956"/>
          <c:w val="0.62090163934426235"/>
          <c:h val="8.8889180519101774E-2"/>
        </c:manualLayout>
      </c:layout>
      <c:overlay val="0"/>
      <c:spPr>
        <a:solidFill>
          <a:srgbClr val="FFFFFF"/>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a:t>Fig 5. Materials Aspects</a:t>
            </a:r>
          </a:p>
        </c:rich>
      </c:tx>
      <c:layout>
        <c:manualLayout>
          <c:xMode val="edge"/>
          <c:yMode val="edge"/>
          <c:x val="3.189067624215685E-2"/>
          <c:y val="3.3240886555847185E-2"/>
        </c:manualLayout>
      </c:layout>
      <c:overlay val="0"/>
      <c:spPr>
        <a:noFill/>
        <a:ln w="25400">
          <a:noFill/>
        </a:ln>
      </c:spPr>
    </c:title>
    <c:autoTitleDeleted val="0"/>
    <c:plotArea>
      <c:layout>
        <c:manualLayout>
          <c:layoutTarget val="inner"/>
          <c:xMode val="edge"/>
          <c:yMode val="edge"/>
          <c:x val="0.27363818252226668"/>
          <c:y val="0.32752299314386257"/>
          <c:w val="0.61433565681339009"/>
          <c:h val="0.50973746010280563"/>
        </c:manualLayout>
      </c:layout>
      <c:barChart>
        <c:barDir val="col"/>
        <c:grouping val="stacked"/>
        <c:varyColors val="0"/>
        <c:ser>
          <c:idx val="0"/>
          <c:order val="0"/>
          <c:tx>
            <c:strRef>
              <c:f>'Result and Graph'!$A$25</c:f>
              <c:strCache>
                <c:ptCount val="1"/>
                <c:pt idx="0">
                  <c:v>Credits Achieved in the Provisional Assessment</c:v>
                </c:pt>
              </c:strCache>
            </c:strRef>
          </c:tx>
          <c:spPr>
            <a:solidFill>
              <a:srgbClr val="00FF00"/>
            </a:solidFill>
            <a:ln w="12700">
              <a:solidFill>
                <a:srgbClr val="000000"/>
              </a:solidFill>
              <a:prstDash val="solid"/>
            </a:ln>
          </c:spPr>
          <c:invertIfNegative val="0"/>
          <c:cat>
            <c:strRef>
              <c:f>'Result and Graph'!$A$7</c:f>
              <c:strCache>
                <c:ptCount val="1"/>
                <c:pt idx="0">
                  <c:v>Materials Aspects</c:v>
                </c:pt>
              </c:strCache>
            </c:strRef>
          </c:cat>
          <c:val>
            <c:numRef>
              <c:f>'Result and Graph'!$C$7</c:f>
              <c:numCache>
                <c:formatCode>0.0</c:formatCode>
                <c:ptCount val="1"/>
                <c:pt idx="0">
                  <c:v>0</c:v>
                </c:pt>
              </c:numCache>
            </c:numRef>
          </c:val>
          <c:extLst>
            <c:ext xmlns:c16="http://schemas.microsoft.com/office/drawing/2014/chart" uri="{C3380CC4-5D6E-409C-BE32-E72D297353CC}">
              <c16:uniqueId val="{00000000-EFA2-4483-AE50-E6037DBE0BB8}"/>
            </c:ext>
          </c:extLst>
        </c:ser>
        <c:dLbls>
          <c:showLegendKey val="0"/>
          <c:showVal val="0"/>
          <c:showCatName val="0"/>
          <c:showSerName val="0"/>
          <c:showPercent val="0"/>
          <c:showBubbleSize val="0"/>
        </c:dLbls>
        <c:gapWidth val="0"/>
        <c:overlap val="100"/>
        <c:axId val="122785152"/>
        <c:axId val="122819712"/>
      </c:barChart>
      <c:scatterChart>
        <c:scatterStyle val="lineMarker"/>
        <c:varyColors val="0"/>
        <c:ser>
          <c:idx val="3"/>
          <c:order val="1"/>
          <c:tx>
            <c:strRef>
              <c:f>'Result and Graph'!$A$18</c:f>
              <c:strCache>
                <c:ptCount val="1"/>
              </c:strCache>
            </c:strRef>
          </c:tx>
          <c:spPr>
            <a:ln w="25400">
              <a:solidFill>
                <a:srgbClr val="FF9900"/>
              </a:solidFill>
              <a:prstDash val="solid"/>
            </a:ln>
          </c:spPr>
          <c:marker>
            <c:symbol val="none"/>
          </c:marker>
          <c:dPt>
            <c:idx val="1"/>
            <c:bubble3D val="0"/>
            <c:extLst>
              <c:ext xmlns:c16="http://schemas.microsoft.com/office/drawing/2014/chart" uri="{C3380CC4-5D6E-409C-BE32-E72D297353CC}">
                <c16:uniqueId val="{00000001-EFA2-4483-AE50-E6037DBE0BB8}"/>
              </c:ext>
            </c:extLst>
          </c:dPt>
          <c:dLbls>
            <c:dLbl>
              <c:idx val="0"/>
              <c:delete val="1"/>
              <c:extLst>
                <c:ext xmlns:c15="http://schemas.microsoft.com/office/drawing/2012/chart" uri="{CE6537A1-D6FC-4f65-9D91-7224C49458BB}"/>
                <c:ext xmlns:c16="http://schemas.microsoft.com/office/drawing/2014/chart" uri="{C3380CC4-5D6E-409C-BE32-E72D297353CC}">
                  <c16:uniqueId val="{00000002-EFA2-4483-AE50-E6037DBE0BB8}"/>
                </c:ext>
              </c:extLst>
            </c:dLbl>
            <c:dLbl>
              <c:idx val="1"/>
              <c:layout>
                <c:manualLayout>
                  <c:x val="1.9597846879309579E-2"/>
                  <c:y val="-4.4815727673929958E-4"/>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EFA2-4483-AE50-E6037DBE0BB8}"/>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Graph'!$B$22:$C$22</c:f>
              <c:numCache>
                <c:formatCode>0.0</c:formatCode>
                <c:ptCount val="2"/>
                <c:pt idx="0">
                  <c:v>75</c:v>
                </c:pt>
                <c:pt idx="1">
                  <c:v>75</c:v>
                </c:pt>
              </c:numCache>
            </c:numRef>
          </c:yVal>
          <c:smooth val="0"/>
          <c:extLst>
            <c:ext xmlns:c16="http://schemas.microsoft.com/office/drawing/2014/chart" uri="{C3380CC4-5D6E-409C-BE32-E72D297353CC}">
              <c16:uniqueId val="{00000003-EFA2-4483-AE50-E6037DBE0BB8}"/>
            </c:ext>
          </c:extLst>
        </c:ser>
        <c:dLbls>
          <c:showLegendKey val="0"/>
          <c:showVal val="0"/>
          <c:showCatName val="0"/>
          <c:showSerName val="0"/>
          <c:showPercent val="0"/>
          <c:showBubbleSize val="0"/>
        </c:dLbls>
        <c:axId val="122785152"/>
        <c:axId val="122819712"/>
      </c:scatterChart>
      <c:catAx>
        <c:axId val="122785152"/>
        <c:scaling>
          <c:orientation val="minMax"/>
        </c:scaling>
        <c:delete val="0"/>
        <c:axPos val="b"/>
        <c:numFmt formatCode="General"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22819712"/>
        <c:crossesAt val="0"/>
        <c:auto val="1"/>
        <c:lblAlgn val="ctr"/>
        <c:lblOffset val="100"/>
        <c:tickLblSkip val="1"/>
        <c:tickMarkSkip val="1"/>
        <c:noMultiLvlLbl val="0"/>
      </c:catAx>
      <c:valAx>
        <c:axId val="122819712"/>
        <c:scaling>
          <c:orientation val="minMax"/>
          <c:max val="22"/>
          <c:min val="0"/>
        </c:scaling>
        <c:delete val="0"/>
        <c:axPos val="l"/>
        <c:majorGridlines>
          <c:spPr>
            <a:ln w="3175">
              <a:solidFill>
                <a:srgbClr val="FFFFFF"/>
              </a:solidFill>
              <a:prstDash val="solid"/>
            </a:ln>
          </c:spPr>
        </c:majorGridlines>
        <c:title>
          <c:tx>
            <c:rich>
              <a:bodyPr/>
              <a:lstStyle/>
              <a:p>
                <a:pPr>
                  <a:defRPr sz="1200" b="0" i="0" u="none" strike="noStrike" baseline="0">
                    <a:solidFill>
                      <a:srgbClr val="000000"/>
                    </a:solidFill>
                    <a:latin typeface="Arial"/>
                    <a:ea typeface="Arial"/>
                    <a:cs typeface="Arial"/>
                  </a:defRPr>
                </a:pPr>
                <a:r>
                  <a:rPr lang="en-US"/>
                  <a:t>No. of Credits</a:t>
                </a:r>
              </a:p>
            </c:rich>
          </c:tx>
          <c:layout>
            <c:manualLayout>
              <c:xMode val="edge"/>
              <c:yMode val="edge"/>
              <c:x val="8.5164323784680293E-2"/>
              <c:y val="0.42928113152522601"/>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22785152"/>
        <c:crosses val="autoZero"/>
        <c:crossBetween val="between"/>
        <c:majorUnit val="2"/>
      </c:valAx>
    </c:plotArea>
    <c:legend>
      <c:legendPos val="r"/>
      <c:legendEntry>
        <c:idx val="1"/>
        <c:delete val="1"/>
      </c:legendEntry>
      <c:layout>
        <c:manualLayout>
          <c:xMode val="edge"/>
          <c:yMode val="edge"/>
          <c:x val="0.34355892629985668"/>
          <c:y val="0.11666695829687956"/>
          <c:w val="0.64621805709869085"/>
          <c:h val="8.8889180519101774E-2"/>
        </c:manualLayout>
      </c:layout>
      <c:overlay val="0"/>
      <c:spPr>
        <a:solidFill>
          <a:srgbClr val="FFFFFF"/>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a:t>Fig 6. Energy Use</a:t>
            </a:r>
          </a:p>
        </c:rich>
      </c:tx>
      <c:layout>
        <c:manualLayout>
          <c:xMode val="edge"/>
          <c:yMode val="edge"/>
          <c:x val="3.1890624327696744E-2"/>
          <c:y val="3.3240886555847185E-2"/>
        </c:manualLayout>
      </c:layout>
      <c:overlay val="0"/>
      <c:spPr>
        <a:noFill/>
        <a:ln w="25400">
          <a:noFill/>
        </a:ln>
      </c:spPr>
    </c:title>
    <c:autoTitleDeleted val="0"/>
    <c:plotArea>
      <c:layout>
        <c:manualLayout>
          <c:layoutTarget val="inner"/>
          <c:xMode val="edge"/>
          <c:yMode val="edge"/>
          <c:x val="0.27363818252226668"/>
          <c:y val="0.32752299314386257"/>
          <c:w val="0.61433565681339009"/>
          <c:h val="0.50973746010280563"/>
        </c:manualLayout>
      </c:layout>
      <c:barChart>
        <c:barDir val="col"/>
        <c:grouping val="stacked"/>
        <c:varyColors val="0"/>
        <c:ser>
          <c:idx val="0"/>
          <c:order val="0"/>
          <c:tx>
            <c:strRef>
              <c:f>'Result and Graph'!$A$25</c:f>
              <c:strCache>
                <c:ptCount val="1"/>
                <c:pt idx="0">
                  <c:v>Credits Achieved in the Provisional Assessment</c:v>
                </c:pt>
              </c:strCache>
            </c:strRef>
          </c:tx>
          <c:spPr>
            <a:solidFill>
              <a:srgbClr val="00FF00"/>
            </a:solidFill>
            <a:ln w="12700">
              <a:solidFill>
                <a:srgbClr val="000000"/>
              </a:solidFill>
              <a:prstDash val="solid"/>
            </a:ln>
          </c:spPr>
          <c:invertIfNegative val="0"/>
          <c:cat>
            <c:strRef>
              <c:f>'Result and Graph'!$A$8</c:f>
              <c:strCache>
                <c:ptCount val="1"/>
                <c:pt idx="0">
                  <c:v>Energy Use</c:v>
                </c:pt>
              </c:strCache>
            </c:strRef>
          </c:cat>
          <c:val>
            <c:numRef>
              <c:f>'Result and Graph'!$C$8</c:f>
              <c:numCache>
                <c:formatCode>0.0</c:formatCode>
                <c:ptCount val="1"/>
                <c:pt idx="0">
                  <c:v>0</c:v>
                </c:pt>
              </c:numCache>
            </c:numRef>
          </c:val>
          <c:extLst>
            <c:ext xmlns:c16="http://schemas.microsoft.com/office/drawing/2014/chart" uri="{C3380CC4-5D6E-409C-BE32-E72D297353CC}">
              <c16:uniqueId val="{00000000-06A3-4AD5-9CD3-8D107B263246}"/>
            </c:ext>
          </c:extLst>
        </c:ser>
        <c:dLbls>
          <c:showLegendKey val="0"/>
          <c:showVal val="0"/>
          <c:showCatName val="0"/>
          <c:showSerName val="0"/>
          <c:showPercent val="0"/>
          <c:showBubbleSize val="0"/>
        </c:dLbls>
        <c:gapWidth val="0"/>
        <c:overlap val="100"/>
        <c:axId val="122905344"/>
        <c:axId val="122906880"/>
      </c:barChart>
      <c:scatterChart>
        <c:scatterStyle val="lineMarker"/>
        <c:varyColors val="0"/>
        <c:ser>
          <c:idx val="3"/>
          <c:order val="1"/>
          <c:tx>
            <c:strRef>
              <c:f>'Result and Graph'!$A$19</c:f>
              <c:strCache>
                <c:ptCount val="1"/>
                <c:pt idx="0">
                  <c:v>Bronze</c:v>
                </c:pt>
              </c:strCache>
            </c:strRef>
          </c:tx>
          <c:spPr>
            <a:ln w="25400">
              <a:solidFill>
                <a:srgbClr val="FF9900"/>
              </a:solidFill>
              <a:prstDash val="solid"/>
            </a:ln>
          </c:spPr>
          <c:marker>
            <c:symbol val="none"/>
          </c:marker>
          <c:dPt>
            <c:idx val="1"/>
            <c:bubble3D val="0"/>
            <c:extLst>
              <c:ext xmlns:c16="http://schemas.microsoft.com/office/drawing/2014/chart" uri="{C3380CC4-5D6E-409C-BE32-E72D297353CC}">
                <c16:uniqueId val="{00000001-06A3-4AD5-9CD3-8D107B263246}"/>
              </c:ext>
            </c:extLst>
          </c:dPt>
          <c:dLbls>
            <c:dLbl>
              <c:idx val="0"/>
              <c:delete val="1"/>
              <c:extLst>
                <c:ext xmlns:c15="http://schemas.microsoft.com/office/drawing/2012/chart" uri="{CE6537A1-D6FC-4f65-9D91-7224C49458BB}"/>
                <c:ext xmlns:c16="http://schemas.microsoft.com/office/drawing/2014/chart" uri="{C3380CC4-5D6E-409C-BE32-E72D297353CC}">
                  <c16:uniqueId val="{00000002-06A3-4AD5-9CD3-8D107B263246}"/>
                </c:ext>
              </c:extLst>
            </c:dLbl>
            <c:dLbl>
              <c:idx val="1"/>
              <c:layout>
                <c:manualLayout>
                  <c:x val="1.9597846879309579E-2"/>
                  <c:y val="-4.4815727673929958E-4"/>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06A3-4AD5-9CD3-8D107B263246}"/>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Graph'!$F$19:$G$19</c:f>
              <c:numCache>
                <c:formatCode>0.0</c:formatCode>
                <c:ptCount val="2"/>
                <c:pt idx="0">
                  <c:v>0</c:v>
                </c:pt>
                <c:pt idx="1">
                  <c:v>0</c:v>
                </c:pt>
              </c:numCache>
            </c:numRef>
          </c:yVal>
          <c:smooth val="0"/>
          <c:extLst>
            <c:ext xmlns:c16="http://schemas.microsoft.com/office/drawing/2014/chart" uri="{C3380CC4-5D6E-409C-BE32-E72D297353CC}">
              <c16:uniqueId val="{00000003-06A3-4AD5-9CD3-8D107B263246}"/>
            </c:ext>
          </c:extLst>
        </c:ser>
        <c:ser>
          <c:idx val="4"/>
          <c:order val="2"/>
          <c:tx>
            <c:strRef>
              <c:f>'Result and Graph'!$A$20</c:f>
              <c:strCache>
                <c:ptCount val="1"/>
                <c:pt idx="0">
                  <c:v>Silver</c:v>
                </c:pt>
              </c:strCache>
            </c:strRef>
          </c:tx>
          <c:spPr>
            <a:ln w="25400">
              <a:solidFill>
                <a:srgbClr val="C0C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06A3-4AD5-9CD3-8D107B263246}"/>
                </c:ext>
              </c:extLst>
            </c:dLbl>
            <c:dLbl>
              <c:idx val="1"/>
              <c:layout>
                <c:manualLayout>
                  <c:x val="2.7271453356466035E-2"/>
                  <c:y val="1.1989443147861364E-2"/>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06A3-4AD5-9CD3-8D107B263246}"/>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Graph'!$F$20:$G$20</c:f>
              <c:numCache>
                <c:formatCode>0.0</c:formatCode>
                <c:ptCount val="2"/>
                <c:pt idx="0">
                  <c:v>0</c:v>
                </c:pt>
                <c:pt idx="1">
                  <c:v>0</c:v>
                </c:pt>
              </c:numCache>
            </c:numRef>
          </c:yVal>
          <c:smooth val="0"/>
          <c:extLst>
            <c:ext xmlns:c16="http://schemas.microsoft.com/office/drawing/2014/chart" uri="{C3380CC4-5D6E-409C-BE32-E72D297353CC}">
              <c16:uniqueId val="{00000006-06A3-4AD5-9CD3-8D107B263246}"/>
            </c:ext>
          </c:extLst>
        </c:ser>
        <c:ser>
          <c:idx val="5"/>
          <c:order val="3"/>
          <c:tx>
            <c:strRef>
              <c:f>'Result and Graph'!$A$21</c:f>
              <c:strCache>
                <c:ptCount val="1"/>
                <c:pt idx="0">
                  <c:v>Gold</c:v>
                </c:pt>
              </c:strCache>
            </c:strRef>
          </c:tx>
          <c:spPr>
            <a:ln w="25400">
              <a:solidFill>
                <a:srgbClr val="FFFF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7-06A3-4AD5-9CD3-8D107B263246}"/>
                </c:ext>
              </c:extLst>
            </c:dLbl>
            <c:dLbl>
              <c:idx val="1"/>
              <c:layout>
                <c:manualLayout>
                  <c:x val="2.5479113839583612E-2"/>
                  <c:y val="1.1664303734886325E-2"/>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6A3-4AD5-9CD3-8D107B263246}"/>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Graph'!$F$21:$G$21</c:f>
              <c:numCache>
                <c:formatCode>0.0</c:formatCode>
                <c:ptCount val="2"/>
                <c:pt idx="0">
                  <c:v>0</c:v>
                </c:pt>
                <c:pt idx="1">
                  <c:v>0</c:v>
                </c:pt>
              </c:numCache>
            </c:numRef>
          </c:yVal>
          <c:smooth val="0"/>
          <c:extLst>
            <c:ext xmlns:c16="http://schemas.microsoft.com/office/drawing/2014/chart" uri="{C3380CC4-5D6E-409C-BE32-E72D297353CC}">
              <c16:uniqueId val="{00000009-06A3-4AD5-9CD3-8D107B263246}"/>
            </c:ext>
          </c:extLst>
        </c:ser>
        <c:ser>
          <c:idx val="6"/>
          <c:order val="4"/>
          <c:tx>
            <c:strRef>
              <c:f>'Result and Graph'!$A$22</c:f>
              <c:strCache>
                <c:ptCount val="1"/>
                <c:pt idx="0">
                  <c:v>Platinum</c:v>
                </c:pt>
              </c:strCache>
            </c:strRef>
          </c:tx>
          <c:spPr>
            <a:ln w="25400">
              <a:solidFill>
                <a:srgbClr val="80808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A-06A3-4AD5-9CD3-8D107B263246}"/>
                </c:ext>
              </c:extLst>
            </c:dLbl>
            <c:dLbl>
              <c:idx val="1"/>
              <c:layout>
                <c:manualLayout>
                  <c:x val="1.6795453534409997E-2"/>
                  <c:y val="3.8691008499283849E-3"/>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06A3-4AD5-9CD3-8D107B263246}"/>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Graph'!$F$22:$G$22</c:f>
              <c:numCache>
                <c:formatCode>0.0</c:formatCode>
                <c:ptCount val="2"/>
                <c:pt idx="0">
                  <c:v>0</c:v>
                </c:pt>
                <c:pt idx="1">
                  <c:v>0</c:v>
                </c:pt>
              </c:numCache>
            </c:numRef>
          </c:yVal>
          <c:smooth val="1"/>
          <c:extLst>
            <c:ext xmlns:c16="http://schemas.microsoft.com/office/drawing/2014/chart" uri="{C3380CC4-5D6E-409C-BE32-E72D297353CC}">
              <c16:uniqueId val="{0000000C-06A3-4AD5-9CD3-8D107B263246}"/>
            </c:ext>
          </c:extLst>
        </c:ser>
        <c:dLbls>
          <c:showLegendKey val="0"/>
          <c:showVal val="0"/>
          <c:showCatName val="0"/>
          <c:showSerName val="0"/>
          <c:showPercent val="0"/>
          <c:showBubbleSize val="0"/>
        </c:dLbls>
        <c:axId val="122905344"/>
        <c:axId val="122906880"/>
      </c:scatterChart>
      <c:catAx>
        <c:axId val="122905344"/>
        <c:scaling>
          <c:orientation val="minMax"/>
        </c:scaling>
        <c:delete val="0"/>
        <c:axPos val="b"/>
        <c:numFmt formatCode="General"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22906880"/>
        <c:crossesAt val="0"/>
        <c:auto val="1"/>
        <c:lblAlgn val="ctr"/>
        <c:lblOffset val="100"/>
        <c:tickLblSkip val="1"/>
        <c:tickMarkSkip val="1"/>
        <c:noMultiLvlLbl val="0"/>
      </c:catAx>
      <c:valAx>
        <c:axId val="122906880"/>
        <c:scaling>
          <c:orientation val="minMax"/>
          <c:max val="45"/>
          <c:min val="0"/>
        </c:scaling>
        <c:delete val="0"/>
        <c:axPos val="l"/>
        <c:majorGridlines>
          <c:spPr>
            <a:ln w="3175">
              <a:solidFill>
                <a:srgbClr val="FFFFFF"/>
              </a:solidFill>
              <a:prstDash val="solid"/>
            </a:ln>
          </c:spPr>
        </c:majorGridlines>
        <c:title>
          <c:tx>
            <c:rich>
              <a:bodyPr/>
              <a:lstStyle/>
              <a:p>
                <a:pPr>
                  <a:defRPr sz="1200" b="0" i="0" u="none" strike="noStrike" baseline="0">
                    <a:solidFill>
                      <a:srgbClr val="000000"/>
                    </a:solidFill>
                    <a:latin typeface="Arial"/>
                    <a:ea typeface="Arial"/>
                    <a:cs typeface="Arial"/>
                  </a:defRPr>
                </a:pPr>
                <a:r>
                  <a:rPr lang="en-US"/>
                  <a:t>No. of Credits</a:t>
                </a:r>
              </a:p>
            </c:rich>
          </c:tx>
          <c:layout>
            <c:manualLayout>
              <c:xMode val="edge"/>
              <c:yMode val="edge"/>
              <c:x val="8.5164364700314091E-2"/>
              <c:y val="0.4292811315252260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22905344"/>
        <c:crosses val="autoZero"/>
        <c:crossBetween val="between"/>
        <c:majorUnit val="5"/>
      </c:valAx>
    </c:plotArea>
    <c:legend>
      <c:legendPos val="r"/>
      <c:legendEntry>
        <c:idx val="1"/>
        <c:delete val="1"/>
      </c:legendEntry>
      <c:legendEntry>
        <c:idx val="2"/>
        <c:delete val="1"/>
      </c:legendEntry>
      <c:legendEntry>
        <c:idx val="3"/>
        <c:delete val="1"/>
      </c:legendEntry>
      <c:legendEntry>
        <c:idx val="4"/>
        <c:delete val="1"/>
      </c:legendEntry>
      <c:layout>
        <c:manualLayout>
          <c:xMode val="edge"/>
          <c:yMode val="edge"/>
          <c:x val="0.35860655737704916"/>
          <c:y val="0.11666695829687956"/>
          <c:w val="0.62909836065573765"/>
          <c:h val="8.8889180519101774E-2"/>
        </c:manualLayout>
      </c:layout>
      <c:overlay val="0"/>
      <c:spPr>
        <a:solidFill>
          <a:srgbClr val="FFFFFF"/>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a:t>Fig 7. Water Use</a:t>
            </a:r>
          </a:p>
        </c:rich>
      </c:tx>
      <c:layout>
        <c:manualLayout>
          <c:xMode val="edge"/>
          <c:yMode val="edge"/>
          <c:x val="3.189067624215685E-2"/>
          <c:y val="3.3240997229916899E-2"/>
        </c:manualLayout>
      </c:layout>
      <c:overlay val="0"/>
      <c:spPr>
        <a:noFill/>
        <a:ln w="25400">
          <a:noFill/>
        </a:ln>
      </c:spPr>
    </c:title>
    <c:autoTitleDeleted val="0"/>
    <c:plotArea>
      <c:layout>
        <c:manualLayout>
          <c:layoutTarget val="inner"/>
          <c:xMode val="edge"/>
          <c:yMode val="edge"/>
          <c:x val="0.27363818252226668"/>
          <c:y val="0.32752299314386257"/>
          <c:w val="0.61433565681339009"/>
          <c:h val="0.50973746010280563"/>
        </c:manualLayout>
      </c:layout>
      <c:barChart>
        <c:barDir val="col"/>
        <c:grouping val="stacked"/>
        <c:varyColors val="0"/>
        <c:ser>
          <c:idx val="0"/>
          <c:order val="0"/>
          <c:tx>
            <c:strRef>
              <c:f>'Result and Graph'!$A$25</c:f>
              <c:strCache>
                <c:ptCount val="1"/>
                <c:pt idx="0">
                  <c:v>Credits Achieved in the Provisional Assessment</c:v>
                </c:pt>
              </c:strCache>
            </c:strRef>
          </c:tx>
          <c:spPr>
            <a:solidFill>
              <a:srgbClr val="00FF00"/>
            </a:solidFill>
            <a:ln w="12700">
              <a:solidFill>
                <a:srgbClr val="000000"/>
              </a:solidFill>
              <a:prstDash val="solid"/>
            </a:ln>
          </c:spPr>
          <c:invertIfNegative val="0"/>
          <c:cat>
            <c:strRef>
              <c:f>'Result and Graph'!$A$9</c:f>
              <c:strCache>
                <c:ptCount val="1"/>
                <c:pt idx="0">
                  <c:v>Water Use</c:v>
                </c:pt>
              </c:strCache>
            </c:strRef>
          </c:cat>
          <c:val>
            <c:numRef>
              <c:f>'Result and Graph'!$C$9</c:f>
              <c:numCache>
                <c:formatCode>0.0</c:formatCode>
                <c:ptCount val="1"/>
                <c:pt idx="0">
                  <c:v>0</c:v>
                </c:pt>
              </c:numCache>
            </c:numRef>
          </c:val>
          <c:extLst>
            <c:ext xmlns:c16="http://schemas.microsoft.com/office/drawing/2014/chart" uri="{C3380CC4-5D6E-409C-BE32-E72D297353CC}">
              <c16:uniqueId val="{00000000-6108-4957-AA27-3BDDE72994D3}"/>
            </c:ext>
          </c:extLst>
        </c:ser>
        <c:dLbls>
          <c:showLegendKey val="0"/>
          <c:showVal val="0"/>
          <c:showCatName val="0"/>
          <c:showSerName val="0"/>
          <c:showPercent val="0"/>
          <c:showBubbleSize val="0"/>
        </c:dLbls>
        <c:gapWidth val="0"/>
        <c:overlap val="100"/>
        <c:axId val="123087488"/>
        <c:axId val="123101568"/>
      </c:barChart>
      <c:scatterChart>
        <c:scatterStyle val="lineMarker"/>
        <c:varyColors val="0"/>
        <c:ser>
          <c:idx val="3"/>
          <c:order val="1"/>
          <c:tx>
            <c:strRef>
              <c:f>'Result and Graph'!$A$18</c:f>
              <c:strCache>
                <c:ptCount val="1"/>
              </c:strCache>
            </c:strRef>
          </c:tx>
          <c:spPr>
            <a:ln w="25400">
              <a:solidFill>
                <a:srgbClr val="FF9900"/>
              </a:solidFill>
              <a:prstDash val="solid"/>
            </a:ln>
          </c:spPr>
          <c:marker>
            <c:symbol val="none"/>
          </c:marker>
          <c:dPt>
            <c:idx val="1"/>
            <c:bubble3D val="0"/>
            <c:extLst>
              <c:ext xmlns:c16="http://schemas.microsoft.com/office/drawing/2014/chart" uri="{C3380CC4-5D6E-409C-BE32-E72D297353CC}">
                <c16:uniqueId val="{00000001-6108-4957-AA27-3BDDE72994D3}"/>
              </c:ext>
            </c:extLst>
          </c:dPt>
          <c:dLbls>
            <c:dLbl>
              <c:idx val="0"/>
              <c:delete val="1"/>
              <c:extLst>
                <c:ext xmlns:c15="http://schemas.microsoft.com/office/drawing/2012/chart" uri="{CE6537A1-D6FC-4f65-9D91-7224C49458BB}"/>
                <c:ext xmlns:c16="http://schemas.microsoft.com/office/drawing/2014/chart" uri="{C3380CC4-5D6E-409C-BE32-E72D297353CC}">
                  <c16:uniqueId val="{00000002-6108-4957-AA27-3BDDE72994D3}"/>
                </c:ext>
              </c:extLst>
            </c:dLbl>
            <c:dLbl>
              <c:idx val="1"/>
              <c:layout>
                <c:manualLayout>
                  <c:x val="1.9597846879309579E-2"/>
                  <c:y val="-4.4815727673929958E-4"/>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6108-4957-AA27-3BDDE72994D3}"/>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Graph'!$B$22:$C$22</c:f>
              <c:numCache>
                <c:formatCode>0.0</c:formatCode>
                <c:ptCount val="2"/>
                <c:pt idx="0">
                  <c:v>75</c:v>
                </c:pt>
                <c:pt idx="1">
                  <c:v>75</c:v>
                </c:pt>
              </c:numCache>
            </c:numRef>
          </c:yVal>
          <c:smooth val="0"/>
          <c:extLst>
            <c:ext xmlns:c16="http://schemas.microsoft.com/office/drawing/2014/chart" uri="{C3380CC4-5D6E-409C-BE32-E72D297353CC}">
              <c16:uniqueId val="{00000003-6108-4957-AA27-3BDDE72994D3}"/>
            </c:ext>
          </c:extLst>
        </c:ser>
        <c:dLbls>
          <c:showLegendKey val="0"/>
          <c:showVal val="0"/>
          <c:showCatName val="0"/>
          <c:showSerName val="0"/>
          <c:showPercent val="0"/>
          <c:showBubbleSize val="0"/>
        </c:dLbls>
        <c:axId val="123087488"/>
        <c:axId val="123101568"/>
      </c:scatterChart>
      <c:catAx>
        <c:axId val="123087488"/>
        <c:scaling>
          <c:orientation val="minMax"/>
        </c:scaling>
        <c:delete val="0"/>
        <c:axPos val="b"/>
        <c:numFmt formatCode="General"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23101568"/>
        <c:crossesAt val="0"/>
        <c:auto val="1"/>
        <c:lblAlgn val="ctr"/>
        <c:lblOffset val="100"/>
        <c:tickLblSkip val="1"/>
        <c:tickMarkSkip val="1"/>
        <c:noMultiLvlLbl val="0"/>
      </c:catAx>
      <c:valAx>
        <c:axId val="123101568"/>
        <c:scaling>
          <c:orientation val="minMax"/>
          <c:max val="10"/>
          <c:min val="0"/>
        </c:scaling>
        <c:delete val="0"/>
        <c:axPos val="l"/>
        <c:majorGridlines>
          <c:spPr>
            <a:ln w="3175">
              <a:solidFill>
                <a:srgbClr val="FFFFFF"/>
              </a:solidFill>
              <a:prstDash val="solid"/>
            </a:ln>
          </c:spPr>
        </c:majorGridlines>
        <c:title>
          <c:tx>
            <c:rich>
              <a:bodyPr/>
              <a:lstStyle/>
              <a:p>
                <a:pPr>
                  <a:defRPr sz="1200" b="0" i="0" u="none" strike="noStrike" baseline="0">
                    <a:solidFill>
                      <a:srgbClr val="000000"/>
                    </a:solidFill>
                    <a:latin typeface="Arial"/>
                    <a:ea typeface="Arial"/>
                    <a:cs typeface="Arial"/>
                  </a:defRPr>
                </a:pPr>
                <a:r>
                  <a:rPr lang="en-US"/>
                  <a:t>No. of Credits</a:t>
                </a:r>
              </a:p>
            </c:rich>
          </c:tx>
          <c:layout>
            <c:manualLayout>
              <c:xMode val="edge"/>
              <c:yMode val="edge"/>
              <c:x val="8.5164323784680293E-2"/>
              <c:y val="0.4292811597996233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23087488"/>
        <c:crosses val="autoZero"/>
        <c:crossBetween val="between"/>
        <c:majorUnit val="1"/>
      </c:valAx>
    </c:plotArea>
    <c:legend>
      <c:legendPos val="r"/>
      <c:legendEntry>
        <c:idx val="1"/>
        <c:delete val="1"/>
      </c:legendEntry>
      <c:layout>
        <c:manualLayout>
          <c:xMode val="edge"/>
          <c:yMode val="edge"/>
          <c:x val="0.37014379337552128"/>
          <c:y val="0.1163437811270821"/>
          <c:w val="0.6196331900230263"/>
          <c:h val="8.864265927977838E-2"/>
        </c:manualLayout>
      </c:layout>
      <c:overlay val="0"/>
      <c:spPr>
        <a:solidFill>
          <a:srgbClr val="FFFFFF"/>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a:t>Fig 8. Indoor Environmental Quality</a:t>
            </a:r>
          </a:p>
        </c:rich>
      </c:tx>
      <c:layout>
        <c:manualLayout>
          <c:xMode val="edge"/>
          <c:yMode val="edge"/>
          <c:x val="3.1890624327696744E-2"/>
          <c:y val="3.3240997229916899E-2"/>
        </c:manualLayout>
      </c:layout>
      <c:overlay val="0"/>
      <c:spPr>
        <a:noFill/>
        <a:ln w="25400">
          <a:noFill/>
        </a:ln>
      </c:spPr>
    </c:title>
    <c:autoTitleDeleted val="0"/>
    <c:plotArea>
      <c:layout>
        <c:manualLayout>
          <c:layoutTarget val="inner"/>
          <c:xMode val="edge"/>
          <c:yMode val="edge"/>
          <c:x val="0.27363818252226668"/>
          <c:y val="0.32752299314386257"/>
          <c:w val="0.61433565681339009"/>
          <c:h val="0.50973746010280563"/>
        </c:manualLayout>
      </c:layout>
      <c:barChart>
        <c:barDir val="col"/>
        <c:grouping val="stacked"/>
        <c:varyColors val="0"/>
        <c:ser>
          <c:idx val="0"/>
          <c:order val="0"/>
          <c:tx>
            <c:strRef>
              <c:f>'Result and Graph'!$A$25</c:f>
              <c:strCache>
                <c:ptCount val="1"/>
                <c:pt idx="0">
                  <c:v>Credits Achieved in the Provisional Assessment</c:v>
                </c:pt>
              </c:strCache>
            </c:strRef>
          </c:tx>
          <c:spPr>
            <a:solidFill>
              <a:srgbClr val="00FF00"/>
            </a:solidFill>
            <a:ln w="12700">
              <a:solidFill>
                <a:srgbClr val="000000"/>
              </a:solidFill>
              <a:prstDash val="solid"/>
            </a:ln>
          </c:spPr>
          <c:invertIfNegative val="0"/>
          <c:cat>
            <c:strRef>
              <c:f>'Result and Graph'!$A$10</c:f>
              <c:strCache>
                <c:ptCount val="1"/>
                <c:pt idx="0">
                  <c:v>Indoor Environmental Quality</c:v>
                </c:pt>
              </c:strCache>
            </c:strRef>
          </c:cat>
          <c:val>
            <c:numRef>
              <c:f>'Result and Graph'!$C$10</c:f>
              <c:numCache>
                <c:formatCode>0.0</c:formatCode>
                <c:ptCount val="1"/>
                <c:pt idx="0">
                  <c:v>0</c:v>
                </c:pt>
              </c:numCache>
            </c:numRef>
          </c:val>
          <c:extLst>
            <c:ext xmlns:c16="http://schemas.microsoft.com/office/drawing/2014/chart" uri="{C3380CC4-5D6E-409C-BE32-E72D297353CC}">
              <c16:uniqueId val="{00000000-864D-4985-95DE-31AF439D06DF}"/>
            </c:ext>
          </c:extLst>
        </c:ser>
        <c:dLbls>
          <c:showLegendKey val="0"/>
          <c:showVal val="0"/>
          <c:showCatName val="0"/>
          <c:showSerName val="0"/>
          <c:showPercent val="0"/>
          <c:showBubbleSize val="0"/>
        </c:dLbls>
        <c:gapWidth val="0"/>
        <c:overlap val="100"/>
        <c:axId val="125558784"/>
        <c:axId val="125560320"/>
      </c:barChart>
      <c:scatterChart>
        <c:scatterStyle val="lineMarker"/>
        <c:varyColors val="0"/>
        <c:ser>
          <c:idx val="3"/>
          <c:order val="1"/>
          <c:tx>
            <c:strRef>
              <c:f>'Result and Graph'!$A$19</c:f>
              <c:strCache>
                <c:ptCount val="1"/>
                <c:pt idx="0">
                  <c:v>Bronze</c:v>
                </c:pt>
              </c:strCache>
            </c:strRef>
          </c:tx>
          <c:spPr>
            <a:ln w="25400">
              <a:solidFill>
                <a:srgbClr val="FF9900"/>
              </a:solidFill>
              <a:prstDash val="solid"/>
            </a:ln>
          </c:spPr>
          <c:marker>
            <c:symbol val="none"/>
          </c:marker>
          <c:dPt>
            <c:idx val="1"/>
            <c:bubble3D val="0"/>
            <c:extLst>
              <c:ext xmlns:c16="http://schemas.microsoft.com/office/drawing/2014/chart" uri="{C3380CC4-5D6E-409C-BE32-E72D297353CC}">
                <c16:uniqueId val="{00000001-864D-4985-95DE-31AF439D06DF}"/>
              </c:ext>
            </c:extLst>
          </c:dPt>
          <c:dLbls>
            <c:dLbl>
              <c:idx val="0"/>
              <c:delete val="1"/>
              <c:extLst>
                <c:ext xmlns:c15="http://schemas.microsoft.com/office/drawing/2012/chart" uri="{CE6537A1-D6FC-4f65-9D91-7224C49458BB}"/>
                <c:ext xmlns:c16="http://schemas.microsoft.com/office/drawing/2014/chart" uri="{C3380CC4-5D6E-409C-BE32-E72D297353CC}">
                  <c16:uniqueId val="{00000002-864D-4985-95DE-31AF439D06DF}"/>
                </c:ext>
              </c:extLst>
            </c:dLbl>
            <c:dLbl>
              <c:idx val="1"/>
              <c:layout>
                <c:manualLayout>
                  <c:x val="1.9597846879309579E-2"/>
                  <c:y val="-4.4815727673929958E-4"/>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4D-4985-95DE-31AF439D06DF}"/>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Graph'!$H$19:$I$19</c:f>
              <c:numCache>
                <c:formatCode>0.0</c:formatCode>
                <c:ptCount val="2"/>
                <c:pt idx="0">
                  <c:v>0</c:v>
                </c:pt>
                <c:pt idx="1">
                  <c:v>0</c:v>
                </c:pt>
              </c:numCache>
            </c:numRef>
          </c:yVal>
          <c:smooth val="0"/>
          <c:extLst>
            <c:ext xmlns:c16="http://schemas.microsoft.com/office/drawing/2014/chart" uri="{C3380CC4-5D6E-409C-BE32-E72D297353CC}">
              <c16:uniqueId val="{00000003-864D-4985-95DE-31AF439D06DF}"/>
            </c:ext>
          </c:extLst>
        </c:ser>
        <c:ser>
          <c:idx val="4"/>
          <c:order val="2"/>
          <c:tx>
            <c:strRef>
              <c:f>'Result and Graph'!$A$20</c:f>
              <c:strCache>
                <c:ptCount val="1"/>
                <c:pt idx="0">
                  <c:v>Silver</c:v>
                </c:pt>
              </c:strCache>
            </c:strRef>
          </c:tx>
          <c:spPr>
            <a:ln w="25400">
              <a:solidFill>
                <a:srgbClr val="C0C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864D-4985-95DE-31AF439D06DF}"/>
                </c:ext>
              </c:extLst>
            </c:dLbl>
            <c:dLbl>
              <c:idx val="1"/>
              <c:layout>
                <c:manualLayout>
                  <c:x val="2.7271453356466035E-2"/>
                  <c:y val="1.1989443147861364E-2"/>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864D-4985-95DE-31AF439D06DF}"/>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Graph'!$H$20:$I$20</c:f>
              <c:numCache>
                <c:formatCode>0.0</c:formatCode>
                <c:ptCount val="2"/>
                <c:pt idx="0">
                  <c:v>0</c:v>
                </c:pt>
                <c:pt idx="1">
                  <c:v>0</c:v>
                </c:pt>
              </c:numCache>
            </c:numRef>
          </c:yVal>
          <c:smooth val="0"/>
          <c:extLst>
            <c:ext xmlns:c16="http://schemas.microsoft.com/office/drawing/2014/chart" uri="{C3380CC4-5D6E-409C-BE32-E72D297353CC}">
              <c16:uniqueId val="{00000006-864D-4985-95DE-31AF439D06DF}"/>
            </c:ext>
          </c:extLst>
        </c:ser>
        <c:ser>
          <c:idx val="5"/>
          <c:order val="3"/>
          <c:tx>
            <c:strRef>
              <c:f>'Result and Graph'!$A$21</c:f>
              <c:strCache>
                <c:ptCount val="1"/>
                <c:pt idx="0">
                  <c:v>Gold</c:v>
                </c:pt>
              </c:strCache>
            </c:strRef>
          </c:tx>
          <c:spPr>
            <a:ln w="25400">
              <a:solidFill>
                <a:srgbClr val="FFFF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7-864D-4985-95DE-31AF439D06DF}"/>
                </c:ext>
              </c:extLst>
            </c:dLbl>
            <c:dLbl>
              <c:idx val="1"/>
              <c:layout>
                <c:manualLayout>
                  <c:x val="2.5479113839583612E-2"/>
                  <c:y val="1.1664303734886325E-2"/>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864D-4985-95DE-31AF439D06DF}"/>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Graph'!$H$21:$I$21</c:f>
              <c:numCache>
                <c:formatCode>0.0</c:formatCode>
                <c:ptCount val="2"/>
                <c:pt idx="0">
                  <c:v>0</c:v>
                </c:pt>
                <c:pt idx="1">
                  <c:v>0</c:v>
                </c:pt>
              </c:numCache>
            </c:numRef>
          </c:yVal>
          <c:smooth val="0"/>
          <c:extLst>
            <c:ext xmlns:c16="http://schemas.microsoft.com/office/drawing/2014/chart" uri="{C3380CC4-5D6E-409C-BE32-E72D297353CC}">
              <c16:uniqueId val="{00000009-864D-4985-95DE-31AF439D06DF}"/>
            </c:ext>
          </c:extLst>
        </c:ser>
        <c:ser>
          <c:idx val="6"/>
          <c:order val="4"/>
          <c:tx>
            <c:strRef>
              <c:f>'Result and Graph'!$A$22</c:f>
              <c:strCache>
                <c:ptCount val="1"/>
                <c:pt idx="0">
                  <c:v>Platinum</c:v>
                </c:pt>
              </c:strCache>
            </c:strRef>
          </c:tx>
          <c:spPr>
            <a:ln w="25400">
              <a:solidFill>
                <a:srgbClr val="80808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A-864D-4985-95DE-31AF439D06DF}"/>
                </c:ext>
              </c:extLst>
            </c:dLbl>
            <c:dLbl>
              <c:idx val="1"/>
              <c:layout>
                <c:manualLayout>
                  <c:x val="1.6795453534409997E-2"/>
                  <c:y val="3.8691008499283849E-3"/>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864D-4985-95DE-31AF439D06DF}"/>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'Result and Graph'!$B$16:$C$16</c:f>
              <c:numCache>
                <c:formatCode>0.0</c:formatCode>
                <c:ptCount val="2"/>
                <c:pt idx="0">
                  <c:v>0</c:v>
                </c:pt>
                <c:pt idx="1">
                  <c:v>2</c:v>
                </c:pt>
              </c:numCache>
            </c:numRef>
          </c:xVal>
          <c:yVal>
            <c:numRef>
              <c:f>'Result and Graph'!$H$22:$I$22</c:f>
              <c:numCache>
                <c:formatCode>0.0</c:formatCode>
                <c:ptCount val="2"/>
                <c:pt idx="0">
                  <c:v>0</c:v>
                </c:pt>
                <c:pt idx="1">
                  <c:v>0</c:v>
                </c:pt>
              </c:numCache>
            </c:numRef>
          </c:yVal>
          <c:smooth val="1"/>
          <c:extLst>
            <c:ext xmlns:c16="http://schemas.microsoft.com/office/drawing/2014/chart" uri="{C3380CC4-5D6E-409C-BE32-E72D297353CC}">
              <c16:uniqueId val="{0000000C-864D-4985-95DE-31AF439D06DF}"/>
            </c:ext>
          </c:extLst>
        </c:ser>
        <c:dLbls>
          <c:showLegendKey val="0"/>
          <c:showVal val="0"/>
          <c:showCatName val="0"/>
          <c:showSerName val="0"/>
          <c:showPercent val="0"/>
          <c:showBubbleSize val="0"/>
        </c:dLbls>
        <c:axId val="125558784"/>
        <c:axId val="125560320"/>
      </c:scatterChart>
      <c:catAx>
        <c:axId val="125558784"/>
        <c:scaling>
          <c:orientation val="minMax"/>
        </c:scaling>
        <c:delete val="0"/>
        <c:axPos val="b"/>
        <c:numFmt formatCode="General"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25560320"/>
        <c:crossesAt val="0"/>
        <c:auto val="1"/>
        <c:lblAlgn val="ctr"/>
        <c:lblOffset val="100"/>
        <c:tickLblSkip val="1"/>
        <c:tickMarkSkip val="1"/>
        <c:noMultiLvlLbl val="0"/>
      </c:catAx>
      <c:valAx>
        <c:axId val="125560320"/>
        <c:scaling>
          <c:orientation val="minMax"/>
          <c:max val="35"/>
          <c:min val="0"/>
        </c:scaling>
        <c:delete val="0"/>
        <c:axPos val="l"/>
        <c:majorGridlines>
          <c:spPr>
            <a:ln w="3175">
              <a:solidFill>
                <a:srgbClr val="FFFFFF"/>
              </a:solidFill>
              <a:prstDash val="solid"/>
            </a:ln>
          </c:spPr>
        </c:majorGridlines>
        <c:title>
          <c:tx>
            <c:rich>
              <a:bodyPr/>
              <a:lstStyle/>
              <a:p>
                <a:pPr>
                  <a:defRPr sz="1200" b="0" i="0" u="none" strike="noStrike" baseline="0">
                    <a:solidFill>
                      <a:srgbClr val="000000"/>
                    </a:solidFill>
                    <a:latin typeface="Arial"/>
                    <a:ea typeface="Arial"/>
                    <a:cs typeface="Arial"/>
                  </a:defRPr>
                </a:pPr>
                <a:r>
                  <a:rPr lang="en-US"/>
                  <a:t>No. of Credits</a:t>
                </a:r>
              </a:p>
            </c:rich>
          </c:tx>
          <c:layout>
            <c:manualLayout>
              <c:xMode val="edge"/>
              <c:yMode val="edge"/>
              <c:x val="8.5164364700314091E-2"/>
              <c:y val="0.4292811597996233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25558784"/>
        <c:crosses val="autoZero"/>
        <c:crossBetween val="between"/>
        <c:majorUnit val="5"/>
      </c:valAx>
    </c:plotArea>
    <c:legend>
      <c:legendPos val="r"/>
      <c:legendEntry>
        <c:idx val="1"/>
        <c:delete val="1"/>
      </c:legendEntry>
      <c:legendEntry>
        <c:idx val="2"/>
        <c:delete val="1"/>
      </c:legendEntry>
      <c:legendEntry>
        <c:idx val="3"/>
        <c:delete val="1"/>
      </c:legendEntry>
      <c:legendEntry>
        <c:idx val="4"/>
        <c:delete val="1"/>
      </c:legendEntry>
      <c:layout>
        <c:manualLayout>
          <c:xMode val="edge"/>
          <c:yMode val="edge"/>
          <c:x val="0.34426229508196721"/>
          <c:y val="0.1163437811270821"/>
          <c:w val="0.64549180327868849"/>
          <c:h val="8.864265927977838E-2"/>
        </c:manualLayout>
      </c:layout>
      <c:overlay val="0"/>
      <c:spPr>
        <a:solidFill>
          <a:srgbClr val="FFFFFF"/>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1</xdr:col>
      <xdr:colOff>342900</xdr:colOff>
      <xdr:row>2</xdr:row>
      <xdr:rowOff>123825</xdr:rowOff>
    </xdr:to>
    <xdr:pic>
      <xdr:nvPicPr>
        <xdr:cNvPr id="616018" name="Picture 4" descr="Description: P:\Beam Society\ADMIN\Inventory &amp; Stationary\Stationary\Logo\New logo for office use\BEAM_logo_RGB_Lres.gif">
          <a:extLst>
            <a:ext uri="{FF2B5EF4-FFF2-40B4-BE49-F238E27FC236}">
              <a16:creationId xmlns:a16="http://schemas.microsoft.com/office/drawing/2014/main" id="{00000000-0008-0000-0000-0000526609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525"/>
          <a:ext cx="119062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504825</xdr:colOff>
      <xdr:row>2</xdr:row>
      <xdr:rowOff>114300</xdr:rowOff>
    </xdr:to>
    <xdr:pic>
      <xdr:nvPicPr>
        <xdr:cNvPr id="1671713" name="Picture 4" descr="Description: P:\Beam Society\ADMIN\Inventory &amp; Stationary\Stationary\Logo\New logo for office use\BEAM_logo_RGB_Lres.gif">
          <a:extLst>
            <a:ext uri="{FF2B5EF4-FFF2-40B4-BE49-F238E27FC236}">
              <a16:creationId xmlns:a16="http://schemas.microsoft.com/office/drawing/2014/main" id="{00000000-0008-0000-0100-0000218219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7157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495300</xdr:colOff>
      <xdr:row>2</xdr:row>
      <xdr:rowOff>114300</xdr:rowOff>
    </xdr:to>
    <xdr:pic>
      <xdr:nvPicPr>
        <xdr:cNvPr id="1673683" name="Picture 4" descr="Description: P:\Beam Society\ADMIN\Inventory &amp; Stationary\Stationary\Logo\New logo for office use\BEAM_logo_RGB_Lres.gif">
          <a:extLst>
            <a:ext uri="{FF2B5EF4-FFF2-40B4-BE49-F238E27FC236}">
              <a16:creationId xmlns:a16="http://schemas.microsoft.com/office/drawing/2014/main" id="{00000000-0008-0000-0200-0000D38919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620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495300</xdr:colOff>
      <xdr:row>2</xdr:row>
      <xdr:rowOff>114300</xdr:rowOff>
    </xdr:to>
    <xdr:pic>
      <xdr:nvPicPr>
        <xdr:cNvPr id="1674731" name="Picture 4" descr="Description: P:\Beam Society\ADMIN\Inventory &amp; Stationary\Stationary\Logo\New logo for office use\BEAM_logo_RGB_Lres.gif">
          <a:extLst>
            <a:ext uri="{FF2B5EF4-FFF2-40B4-BE49-F238E27FC236}">
              <a16:creationId xmlns:a16="http://schemas.microsoft.com/office/drawing/2014/main" id="{00000000-0008-0000-0300-0000EB8D19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620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114300</xdr:rowOff>
    </xdr:to>
    <xdr:pic>
      <xdr:nvPicPr>
        <xdr:cNvPr id="3521670" name="Picture 4" descr="Description: P:\Beam Society\ADMIN\Inventory &amp; Stationary\Stationary\Logo\New logo for office use\BEAM_logo_RGB_Lres.gif">
          <a:extLst>
            <a:ext uri="{FF2B5EF4-FFF2-40B4-BE49-F238E27FC236}">
              <a16:creationId xmlns:a16="http://schemas.microsoft.com/office/drawing/2014/main" id="{00000000-0008-0000-0400-000086BC3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7157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495300</xdr:colOff>
      <xdr:row>2</xdr:row>
      <xdr:rowOff>114300</xdr:rowOff>
    </xdr:to>
    <xdr:pic>
      <xdr:nvPicPr>
        <xdr:cNvPr id="1672653" name="Picture 4" descr="Description: P:\Beam Society\ADMIN\Inventory &amp; Stationary\Stationary\Logo\New logo for office use\BEAM_logo_RGB_Lres.gif">
          <a:extLst>
            <a:ext uri="{FF2B5EF4-FFF2-40B4-BE49-F238E27FC236}">
              <a16:creationId xmlns:a16="http://schemas.microsoft.com/office/drawing/2014/main" id="{00000000-0008-0000-0500-0000CD8519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620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495300</xdr:colOff>
      <xdr:row>2</xdr:row>
      <xdr:rowOff>123825</xdr:rowOff>
    </xdr:to>
    <xdr:pic>
      <xdr:nvPicPr>
        <xdr:cNvPr id="1675733" name="Picture 4" descr="Description: P:\Beam Society\ADMIN\Inventory &amp; Stationary\Stationary\Logo\New logo for office use\BEAM_logo_RGB_Lres.gif">
          <a:extLst>
            <a:ext uri="{FF2B5EF4-FFF2-40B4-BE49-F238E27FC236}">
              <a16:creationId xmlns:a16="http://schemas.microsoft.com/office/drawing/2014/main" id="{00000000-0008-0000-0600-0000D59119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6205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114300</xdr:rowOff>
    </xdr:to>
    <xdr:pic>
      <xdr:nvPicPr>
        <xdr:cNvPr id="3866758" name="Picture 4" descr="Description: P:\Beam Society\ADMIN\Inventory &amp; Stationary\Stationary\Logo\New logo for office use\BEAM_logo_RGB_Lres.gif">
          <a:extLst>
            <a:ext uri="{FF2B5EF4-FFF2-40B4-BE49-F238E27FC236}">
              <a16:creationId xmlns:a16="http://schemas.microsoft.com/office/drawing/2014/main" id="{00000000-0008-0000-0700-000086003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7157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457200</xdr:colOff>
      <xdr:row>2</xdr:row>
      <xdr:rowOff>114300</xdr:rowOff>
    </xdr:to>
    <xdr:pic>
      <xdr:nvPicPr>
        <xdr:cNvPr id="2823483" name="Picture 4" descr="Description: P:\Beam Society\ADMIN\Inventory &amp; Stationary\Stationary\Logo\New logo for office use\BEAM_logo_RGB_Lres.gif">
          <a:extLst>
            <a:ext uri="{FF2B5EF4-FFF2-40B4-BE49-F238E27FC236}">
              <a16:creationId xmlns:a16="http://schemas.microsoft.com/office/drawing/2014/main" id="{00000000-0008-0000-0800-00003B152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620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504825</xdr:colOff>
      <xdr:row>2</xdr:row>
      <xdr:rowOff>114300</xdr:rowOff>
    </xdr:to>
    <xdr:pic>
      <xdr:nvPicPr>
        <xdr:cNvPr id="692792" name="Picture 4" descr="Description: P:\Beam Society\ADMIN\Inventory &amp; Stationary\Stationary\Logo\New logo for office use\BEAM_logo_RGB_Lres.gif">
          <a:extLst>
            <a:ext uri="{FF2B5EF4-FFF2-40B4-BE49-F238E27FC236}">
              <a16:creationId xmlns:a16="http://schemas.microsoft.com/office/drawing/2014/main" id="{00000000-0008-0000-0900-000038920A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7157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504825</xdr:colOff>
      <xdr:row>2</xdr:row>
      <xdr:rowOff>114300</xdr:rowOff>
    </xdr:to>
    <xdr:pic>
      <xdr:nvPicPr>
        <xdr:cNvPr id="683577" name="Picture 4" descr="Description: P:\Beam Society\ADMIN\Inventory &amp; Stationary\Stationary\Logo\New logo for office use\BEAM_logo_RGB_Lres.gif">
          <a:extLst>
            <a:ext uri="{FF2B5EF4-FFF2-40B4-BE49-F238E27FC236}">
              <a16:creationId xmlns:a16="http://schemas.microsoft.com/office/drawing/2014/main" id="{00000000-0008-0000-0A00-0000396E0A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7157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228600</xdr:colOff>
      <xdr:row>26</xdr:row>
      <xdr:rowOff>9525</xdr:rowOff>
    </xdr:from>
    <xdr:to>
      <xdr:col>5</xdr:col>
      <xdr:colOff>447675</xdr:colOff>
      <xdr:row>50</xdr:row>
      <xdr:rowOff>76200</xdr:rowOff>
    </xdr:to>
    <xdr:graphicFrame macro="">
      <xdr:nvGraphicFramePr>
        <xdr:cNvPr id="5277796" name="圖表 91">
          <a:extLst>
            <a:ext uri="{FF2B5EF4-FFF2-40B4-BE49-F238E27FC236}">
              <a16:creationId xmlns:a16="http://schemas.microsoft.com/office/drawing/2014/main" id="{00000000-0008-0000-0B00-000064885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609600</xdr:colOff>
      <xdr:row>26</xdr:row>
      <xdr:rowOff>28575</xdr:rowOff>
    </xdr:from>
    <xdr:to>
      <xdr:col>12</xdr:col>
      <xdr:colOff>152400</xdr:colOff>
      <xdr:row>50</xdr:row>
      <xdr:rowOff>76200</xdr:rowOff>
    </xdr:to>
    <xdr:graphicFrame macro="">
      <xdr:nvGraphicFramePr>
        <xdr:cNvPr id="5277797" name="圖表 121">
          <a:extLst>
            <a:ext uri="{FF2B5EF4-FFF2-40B4-BE49-F238E27FC236}">
              <a16:creationId xmlns:a16="http://schemas.microsoft.com/office/drawing/2014/main" id="{00000000-0008-0000-0B00-000065885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228600</xdr:colOff>
      <xdr:row>51</xdr:row>
      <xdr:rowOff>0</xdr:rowOff>
    </xdr:from>
    <xdr:to>
      <xdr:col>3</xdr:col>
      <xdr:colOff>304800</xdr:colOff>
      <xdr:row>72</xdr:row>
      <xdr:rowOff>28575</xdr:rowOff>
    </xdr:to>
    <xdr:graphicFrame macro="">
      <xdr:nvGraphicFramePr>
        <xdr:cNvPr id="5277798" name="圖表 144">
          <a:extLst>
            <a:ext uri="{FF2B5EF4-FFF2-40B4-BE49-F238E27FC236}">
              <a16:creationId xmlns:a16="http://schemas.microsoft.com/office/drawing/2014/main" id="{00000000-0008-0000-0B00-000066885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400050</xdr:colOff>
      <xdr:row>51</xdr:row>
      <xdr:rowOff>0</xdr:rowOff>
    </xdr:from>
    <xdr:to>
      <xdr:col>7</xdr:col>
      <xdr:colOff>857250</xdr:colOff>
      <xdr:row>72</xdr:row>
      <xdr:rowOff>28575</xdr:rowOff>
    </xdr:to>
    <xdr:graphicFrame macro="">
      <xdr:nvGraphicFramePr>
        <xdr:cNvPr id="5277799" name="圖表 144">
          <a:extLst>
            <a:ext uri="{FF2B5EF4-FFF2-40B4-BE49-F238E27FC236}">
              <a16:creationId xmlns:a16="http://schemas.microsoft.com/office/drawing/2014/main" id="{00000000-0008-0000-0B00-000067885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228600</xdr:colOff>
      <xdr:row>73</xdr:row>
      <xdr:rowOff>9525</xdr:rowOff>
    </xdr:from>
    <xdr:to>
      <xdr:col>3</xdr:col>
      <xdr:colOff>314325</xdr:colOff>
      <xdr:row>94</xdr:row>
      <xdr:rowOff>38100</xdr:rowOff>
    </xdr:to>
    <xdr:graphicFrame macro="">
      <xdr:nvGraphicFramePr>
        <xdr:cNvPr id="5277800" name="圖表 144">
          <a:extLst>
            <a:ext uri="{FF2B5EF4-FFF2-40B4-BE49-F238E27FC236}">
              <a16:creationId xmlns:a16="http://schemas.microsoft.com/office/drawing/2014/main" id="{00000000-0008-0000-0B00-000068885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400050</xdr:colOff>
      <xdr:row>73</xdr:row>
      <xdr:rowOff>9525</xdr:rowOff>
    </xdr:from>
    <xdr:to>
      <xdr:col>7</xdr:col>
      <xdr:colOff>857250</xdr:colOff>
      <xdr:row>94</xdr:row>
      <xdr:rowOff>38100</xdr:rowOff>
    </xdr:to>
    <xdr:graphicFrame macro="">
      <xdr:nvGraphicFramePr>
        <xdr:cNvPr id="5277801" name="圖表 144">
          <a:extLst>
            <a:ext uri="{FF2B5EF4-FFF2-40B4-BE49-F238E27FC236}">
              <a16:creationId xmlns:a16="http://schemas.microsoft.com/office/drawing/2014/main" id="{00000000-0008-0000-0B00-000069885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228600</xdr:colOff>
      <xdr:row>95</xdr:row>
      <xdr:rowOff>9525</xdr:rowOff>
    </xdr:from>
    <xdr:to>
      <xdr:col>3</xdr:col>
      <xdr:colOff>314325</xdr:colOff>
      <xdr:row>116</xdr:row>
      <xdr:rowOff>47625</xdr:rowOff>
    </xdr:to>
    <xdr:graphicFrame macro="">
      <xdr:nvGraphicFramePr>
        <xdr:cNvPr id="5277802" name="圖表 144">
          <a:extLst>
            <a:ext uri="{FF2B5EF4-FFF2-40B4-BE49-F238E27FC236}">
              <a16:creationId xmlns:a16="http://schemas.microsoft.com/office/drawing/2014/main" id="{00000000-0008-0000-0B00-00006A885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400050</xdr:colOff>
      <xdr:row>95</xdr:row>
      <xdr:rowOff>9525</xdr:rowOff>
    </xdr:from>
    <xdr:to>
      <xdr:col>7</xdr:col>
      <xdr:colOff>857250</xdr:colOff>
      <xdr:row>116</xdr:row>
      <xdr:rowOff>47625</xdr:rowOff>
    </xdr:to>
    <xdr:graphicFrame macro="">
      <xdr:nvGraphicFramePr>
        <xdr:cNvPr id="5277803" name="圖表 144">
          <a:extLst>
            <a:ext uri="{FF2B5EF4-FFF2-40B4-BE49-F238E27FC236}">
              <a16:creationId xmlns:a16="http://schemas.microsoft.com/office/drawing/2014/main" id="{00000000-0008-0000-0B00-00006B885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2</xdr:col>
      <xdr:colOff>666436</xdr:colOff>
      <xdr:row>0</xdr:row>
      <xdr:rowOff>163286</xdr:rowOff>
    </xdr:from>
    <xdr:ext cx="2187330" cy="327141"/>
    <xdr:sp macro="" textlink="">
      <xdr:nvSpPr>
        <xdr:cNvPr id="10" name="Rectangle 9">
          <a:extLst>
            <a:ext uri="{FF2B5EF4-FFF2-40B4-BE49-F238E27FC236}">
              <a16:creationId xmlns:a16="http://schemas.microsoft.com/office/drawing/2014/main" id="{00000000-0008-0000-0B00-00000A000000}"/>
            </a:ext>
          </a:extLst>
        </xdr:cNvPr>
        <xdr:cNvSpPr/>
      </xdr:nvSpPr>
      <xdr:spPr>
        <a:xfrm>
          <a:off x="4190686" y="163286"/>
          <a:ext cx="2187330" cy="327141"/>
        </a:xfrm>
        <a:prstGeom prst="rect">
          <a:avLst/>
        </a:prstGeom>
        <a:solidFill>
          <a:schemeClr val="tx1"/>
        </a:solidFill>
      </xdr:spPr>
      <xdr:txBody>
        <a:bodyPr wrap="none" lIns="91440" tIns="45720" rIns="91440" bIns="45720">
          <a:spAutoFit/>
        </a:bodyPr>
        <a:lstStyle/>
        <a:p>
          <a:pPr algn="ctr"/>
          <a:r>
            <a:rPr lang="en-US" sz="1500" b="0" cap="none" spc="0">
              <a:ln w="18415" cmpd="sng">
                <a:solidFill>
                  <a:srgbClr val="FFFFFF"/>
                </a:solidFill>
                <a:prstDash val="solid"/>
              </a:ln>
              <a:solidFill>
                <a:sysClr val="windowText" lastClr="000000"/>
              </a:solidFill>
              <a:effectLst>
                <a:outerShdw blurRad="63500" dir="3600000" algn="tl" rotWithShape="0">
                  <a:srgbClr val="000000">
                    <a:alpha val="70000"/>
                  </a:srgbClr>
                </a:outerShdw>
              </a:effectLst>
            </a:rPr>
            <a:t>NB v1.2_Rev 2_20180423</a:t>
          </a:r>
        </a:p>
      </xdr:txBody>
    </xdr:sp>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70"/>
  <sheetViews>
    <sheetView view="pageBreakPreview" topLeftCell="A32" zoomScaleNormal="100" zoomScaleSheetLayoutView="100" workbookViewId="0">
      <selection activeCell="P21" sqref="P21"/>
    </sheetView>
  </sheetViews>
  <sheetFormatPr defaultRowHeight="12.75"/>
  <cols>
    <col min="1" max="7" width="12.7109375" customWidth="1"/>
    <col min="8" max="8" width="9.140625" style="16" customWidth="1"/>
    <col min="9" max="9" width="9.140625" customWidth="1"/>
  </cols>
  <sheetData>
    <row r="1" spans="1:9">
      <c r="A1" s="387"/>
      <c r="B1" s="387"/>
      <c r="C1" s="387"/>
      <c r="D1" s="387"/>
      <c r="E1" s="387"/>
      <c r="F1" s="387"/>
      <c r="G1" s="387"/>
      <c r="I1" s="253" t="s">
        <v>661</v>
      </c>
    </row>
    <row r="2" spans="1:9">
      <c r="A2" s="387"/>
      <c r="B2" s="387"/>
      <c r="C2" s="387"/>
      <c r="D2" s="387"/>
      <c r="E2" s="387"/>
      <c r="F2" s="387"/>
      <c r="G2" s="388" t="str">
        <f>C6</f>
        <v>2123-123XX(x)</v>
      </c>
    </row>
    <row r="3" spans="1:9">
      <c r="A3" s="387"/>
      <c r="B3" s="387"/>
      <c r="C3" s="388" t="s">
        <v>338</v>
      </c>
      <c r="D3" s="387"/>
      <c r="E3" s="387"/>
      <c r="F3" s="387"/>
      <c r="G3" s="388" t="str">
        <f>"BEAM Plus " &amp; C9 &amp; " Report For"</f>
        <v>BEAM Plus Provisional Assessment Report For</v>
      </c>
    </row>
    <row r="4" spans="1:9">
      <c r="A4" s="389" t="s">
        <v>346</v>
      </c>
      <c r="B4" s="389"/>
      <c r="C4" s="390" t="s">
        <v>337</v>
      </c>
      <c r="D4" s="389"/>
      <c r="E4" s="389"/>
      <c r="F4" s="389"/>
      <c r="G4" s="390" t="str">
        <f>C7</f>
        <v>ABC Residential Development</v>
      </c>
    </row>
    <row r="5" spans="1:9">
      <c r="A5" s="16"/>
      <c r="B5" s="16"/>
      <c r="C5" s="16"/>
      <c r="D5" s="16"/>
      <c r="E5" s="16"/>
      <c r="F5" s="16"/>
      <c r="G5" s="16"/>
    </row>
    <row r="6" spans="1:9" ht="21.95" customHeight="1">
      <c r="A6" s="432" t="s">
        <v>380</v>
      </c>
      <c r="B6" s="433"/>
      <c r="C6" s="434" t="s">
        <v>601</v>
      </c>
      <c r="D6" s="435"/>
      <c r="E6" s="435"/>
      <c r="F6" s="435"/>
      <c r="G6" s="435"/>
    </row>
    <row r="7" spans="1:9" ht="21.95" customHeight="1">
      <c r="A7" s="432" t="s">
        <v>339</v>
      </c>
      <c r="B7" s="433"/>
      <c r="C7" s="434" t="s">
        <v>602</v>
      </c>
      <c r="D7" s="435"/>
      <c r="E7" s="435"/>
      <c r="F7" s="435"/>
      <c r="G7" s="435"/>
    </row>
    <row r="8" spans="1:9" ht="21.95" customHeight="1">
      <c r="A8" s="432" t="s">
        <v>340</v>
      </c>
      <c r="B8" s="433" t="s">
        <v>337</v>
      </c>
      <c r="C8" s="439" t="s">
        <v>469</v>
      </c>
      <c r="D8" s="440"/>
      <c r="E8" s="440"/>
      <c r="F8" s="440"/>
      <c r="G8" s="440"/>
    </row>
    <row r="9" spans="1:9" ht="21.95" customHeight="1">
      <c r="A9" s="441" t="s">
        <v>366</v>
      </c>
      <c r="B9" s="442"/>
      <c r="C9" s="443" t="s">
        <v>381</v>
      </c>
      <c r="D9" s="444"/>
      <c r="E9" s="444"/>
      <c r="F9" s="444"/>
      <c r="G9" s="445"/>
    </row>
    <row r="10" spans="1:9" ht="21.95" customHeight="1">
      <c r="A10" s="432" t="s">
        <v>643</v>
      </c>
      <c r="B10" s="433"/>
      <c r="C10" s="434"/>
      <c r="D10" s="435"/>
      <c r="E10" s="435"/>
      <c r="F10" s="435"/>
      <c r="G10" s="435"/>
    </row>
    <row r="11" spans="1:9" ht="21.95" customHeight="1">
      <c r="A11" s="424" t="s">
        <v>595</v>
      </c>
      <c r="B11" s="425"/>
      <c r="C11" s="426"/>
      <c r="D11" s="427"/>
      <c r="E11" s="427"/>
      <c r="F11" s="427"/>
      <c r="G11" s="428"/>
      <c r="H11"/>
    </row>
    <row r="12" spans="1:9" ht="21.95" customHeight="1">
      <c r="A12" s="415" t="s">
        <v>645</v>
      </c>
      <c r="B12" s="416"/>
      <c r="C12" s="417" t="s">
        <v>659</v>
      </c>
      <c r="D12" s="418"/>
      <c r="E12" s="418"/>
      <c r="F12" s="418"/>
      <c r="G12" s="419"/>
      <c r="H12"/>
    </row>
    <row r="13" spans="1:9" ht="21.95" customHeight="1">
      <c r="A13" s="432" t="s">
        <v>341</v>
      </c>
      <c r="B13" s="433" t="s">
        <v>337</v>
      </c>
      <c r="C13" s="434" t="s">
        <v>603</v>
      </c>
      <c r="D13" s="435"/>
      <c r="E13" s="435"/>
      <c r="F13" s="435"/>
      <c r="G13" s="435"/>
    </row>
    <row r="14" spans="1:9" ht="33.75" customHeight="1">
      <c r="A14" s="433"/>
      <c r="B14" s="433" t="s">
        <v>337</v>
      </c>
      <c r="C14" s="436" t="s">
        <v>343</v>
      </c>
      <c r="D14" s="437"/>
      <c r="E14" s="437"/>
      <c r="F14" s="437"/>
      <c r="G14" s="438"/>
    </row>
    <row r="15" spans="1:9" ht="21.95" customHeight="1">
      <c r="A15" s="432" t="s">
        <v>341</v>
      </c>
      <c r="B15" s="433" t="s">
        <v>345</v>
      </c>
      <c r="C15" s="434" t="s">
        <v>342</v>
      </c>
      <c r="D15" s="435"/>
      <c r="E15" s="435"/>
      <c r="F15" s="435"/>
      <c r="G15" s="435"/>
    </row>
    <row r="16" spans="1:9" ht="42" customHeight="1">
      <c r="A16" s="433"/>
      <c r="B16" s="433"/>
      <c r="C16" s="449" t="s">
        <v>343</v>
      </c>
      <c r="D16" s="450"/>
      <c r="E16" s="450"/>
      <c r="F16" s="450"/>
      <c r="G16" s="451"/>
    </row>
    <row r="17" spans="1:8" ht="21.95" customHeight="1" thickBot="1">
      <c r="A17" s="432" t="s">
        <v>344</v>
      </c>
      <c r="B17" s="433"/>
      <c r="C17" s="439" t="e">
        <f>'Result and Graph'!H12</f>
        <v>#DIV/0!</v>
      </c>
      <c r="D17" s="440"/>
      <c r="E17" s="440"/>
      <c r="F17" s="440"/>
      <c r="G17" s="440"/>
    </row>
    <row r="18" spans="1:8" hidden="1">
      <c r="A18" s="16"/>
      <c r="B18" s="16"/>
      <c r="C18" s="16"/>
      <c r="D18" s="16"/>
      <c r="E18" s="16"/>
      <c r="F18" s="16"/>
      <c r="G18" s="16"/>
    </row>
    <row r="19" spans="1:8" ht="13.5" hidden="1" thickBot="1">
      <c r="A19" s="16"/>
      <c r="B19" s="16"/>
      <c r="C19" s="16"/>
      <c r="D19" s="16"/>
      <c r="E19" s="16"/>
      <c r="F19" s="16"/>
      <c r="G19" s="16"/>
    </row>
    <row r="20" spans="1:8" ht="45.75" thickBot="1">
      <c r="A20" s="52" t="s">
        <v>165</v>
      </c>
      <c r="B20" s="53" t="s">
        <v>166</v>
      </c>
      <c r="C20" s="53" t="s">
        <v>167</v>
      </c>
      <c r="D20" s="53" t="s">
        <v>168</v>
      </c>
      <c r="E20" s="53" t="s">
        <v>336</v>
      </c>
      <c r="F20" s="53" t="s">
        <v>169</v>
      </c>
      <c r="G20" s="54" t="s">
        <v>170</v>
      </c>
      <c r="H20" s="54" t="s">
        <v>644</v>
      </c>
    </row>
    <row r="21" spans="1:8" ht="24">
      <c r="A21" s="48" t="s">
        <v>115</v>
      </c>
      <c r="B21" s="412">
        <f>'Result and Graph'!B6</f>
        <v>0</v>
      </c>
      <c r="C21" s="412">
        <f>'Result and Graph'!C6</f>
        <v>0</v>
      </c>
      <c r="D21" s="49" t="str">
        <f>'Result and Graph'!E6</f>
        <v>n/a</v>
      </c>
      <c r="E21" s="49">
        <v>0.25</v>
      </c>
      <c r="F21" s="50" t="str">
        <f>'Result and Graph'!G6</f>
        <v>n/a</v>
      </c>
      <c r="G21" s="403" t="str">
        <f>'Result and Graph'!H6</f>
        <v>Cannot be Assessed</v>
      </c>
      <c r="H21" s="51"/>
    </row>
    <row r="22" spans="1:8" ht="24">
      <c r="A22" s="8" t="s">
        <v>119</v>
      </c>
      <c r="B22" s="413">
        <f>'Result and Graph'!B7</f>
        <v>0</v>
      </c>
      <c r="C22" s="413">
        <f>'Result and Graph'!C7</f>
        <v>0</v>
      </c>
      <c r="D22" s="6" t="str">
        <f>'Result and Graph'!E7</f>
        <v>n/a</v>
      </c>
      <c r="E22" s="6">
        <v>0.08</v>
      </c>
      <c r="F22" s="7" t="str">
        <f>'Result and Graph'!G7</f>
        <v>n/a</v>
      </c>
      <c r="G22" s="402" t="str">
        <f>'Result and Graph'!H7</f>
        <v>Cannot be Assessed</v>
      </c>
      <c r="H22" s="9"/>
    </row>
    <row r="23" spans="1:8" ht="24">
      <c r="A23" s="8" t="s">
        <v>116</v>
      </c>
      <c r="B23" s="413" t="e">
        <f>'Result and Graph'!B8</f>
        <v>#DIV/0!</v>
      </c>
      <c r="C23" s="413" t="e">
        <f>'Result and Graph'!C8</f>
        <v>#DIV/0!</v>
      </c>
      <c r="D23" s="6" t="e">
        <f>'Result and Graph'!E8</f>
        <v>#DIV/0!</v>
      </c>
      <c r="E23" s="6">
        <v>0.35</v>
      </c>
      <c r="F23" s="7" t="e">
        <f>'Result and Graph'!G8</f>
        <v>#DIV/0!</v>
      </c>
      <c r="G23" s="402" t="str">
        <f>'Result and Graph'!H8</f>
        <v>Cannot be Assessed</v>
      </c>
      <c r="H23" s="9"/>
    </row>
    <row r="24" spans="1:8" ht="24">
      <c r="A24" s="8" t="s">
        <v>118</v>
      </c>
      <c r="B24" s="413">
        <f>'Result and Graph'!B9</f>
        <v>0</v>
      </c>
      <c r="C24" s="413">
        <f>'Result and Graph'!C9</f>
        <v>0</v>
      </c>
      <c r="D24" s="6" t="str">
        <f>'Result and Graph'!E9</f>
        <v>n/a</v>
      </c>
      <c r="E24" s="6">
        <v>0.12</v>
      </c>
      <c r="F24" s="7" t="str">
        <f>'Result and Graph'!G9</f>
        <v>n/a</v>
      </c>
      <c r="G24" s="402" t="str">
        <f>'Result and Graph'!H9</f>
        <v>Cannot be Assessed</v>
      </c>
      <c r="H24" s="9"/>
    </row>
    <row r="25" spans="1:8" ht="24">
      <c r="A25" s="8" t="s">
        <v>117</v>
      </c>
      <c r="B25" s="413" t="e">
        <f>'Result and Graph'!B10</f>
        <v>#DIV/0!</v>
      </c>
      <c r="C25" s="413" t="e">
        <f>'Result and Graph'!C10</f>
        <v>#DIV/0!</v>
      </c>
      <c r="D25" s="6" t="e">
        <f>'Result and Graph'!E10</f>
        <v>#DIV/0!</v>
      </c>
      <c r="E25" s="6">
        <v>0.2</v>
      </c>
      <c r="F25" s="7" t="e">
        <f>'Result and Graph'!G10</f>
        <v>#DIV/0!</v>
      </c>
      <c r="G25" s="402" t="str">
        <f>'Result and Graph'!H10</f>
        <v>Cannot be Assessed</v>
      </c>
      <c r="H25" s="402"/>
    </row>
    <row r="26" spans="1:8" ht="13.5" thickBot="1">
      <c r="A26" s="10" t="s">
        <v>417</v>
      </c>
      <c r="B26" s="11" t="s">
        <v>334</v>
      </c>
      <c r="C26" s="414">
        <f>'Result and Graph'!C11</f>
        <v>0</v>
      </c>
      <c r="D26" s="12"/>
      <c r="E26" s="13">
        <v>1</v>
      </c>
      <c r="F26" s="14">
        <f>'Result and Graph'!G11</f>
        <v>0</v>
      </c>
      <c r="G26" s="404" t="str">
        <f>'Result and Graph'!H11</f>
        <v>Bronze</v>
      </c>
      <c r="H26" s="15"/>
    </row>
    <row r="27" spans="1:8" ht="15.75" thickBot="1">
      <c r="A27" s="58"/>
      <c r="B27" s="58"/>
      <c r="C27" s="58"/>
      <c r="D27" s="58"/>
      <c r="E27" s="45" t="s">
        <v>335</v>
      </c>
      <c r="F27" s="46" t="e">
        <f>SUM(F21:F26)</f>
        <v>#DIV/0!</v>
      </c>
      <c r="G27" s="47" t="e">
        <f>'Result and Graph'!H12</f>
        <v>#DIV/0!</v>
      </c>
    </row>
    <row r="28" spans="1:8" ht="15">
      <c r="A28" s="56"/>
      <c r="B28" s="56"/>
      <c r="C28" s="56"/>
      <c r="D28" s="16"/>
      <c r="E28" s="16"/>
      <c r="F28" s="16"/>
      <c r="G28" s="16"/>
    </row>
    <row r="29" spans="1:8">
      <c r="A29" s="16"/>
      <c r="B29" s="16"/>
      <c r="C29" s="16"/>
      <c r="D29" s="16"/>
      <c r="E29" s="16"/>
      <c r="F29" s="16"/>
      <c r="G29" s="16"/>
    </row>
    <row r="30" spans="1:8">
      <c r="A30" s="458" t="s">
        <v>347</v>
      </c>
      <c r="B30" s="459"/>
      <c r="C30" s="459"/>
      <c r="D30" s="459"/>
      <c r="E30" s="459"/>
      <c r="F30" s="459"/>
      <c r="G30" s="459"/>
    </row>
    <row r="31" spans="1:8" ht="13.5" thickBot="1">
      <c r="A31" s="57"/>
      <c r="B31" s="16"/>
      <c r="C31" s="16"/>
      <c r="D31" s="16"/>
      <c r="E31" s="16"/>
      <c r="F31" s="16"/>
      <c r="G31" s="16"/>
    </row>
    <row r="32" spans="1:8" ht="64.5" customHeight="1" thickBot="1">
      <c r="A32" s="452" t="s">
        <v>604</v>
      </c>
      <c r="B32" s="453"/>
      <c r="C32" s="453"/>
      <c r="D32" s="453"/>
      <c r="E32" s="453"/>
      <c r="F32" s="453"/>
      <c r="G32" s="454"/>
    </row>
    <row r="33" spans="1:7">
      <c r="A33" s="16"/>
      <c r="B33" s="16"/>
      <c r="C33" s="16"/>
      <c r="D33" s="16"/>
      <c r="E33" s="16"/>
      <c r="F33" s="16"/>
      <c r="G33" s="16"/>
    </row>
    <row r="34" spans="1:7" ht="6.75" customHeight="1">
      <c r="A34" s="16"/>
      <c r="B34" s="16"/>
      <c r="C34" s="16"/>
      <c r="D34" s="16"/>
      <c r="E34" s="16"/>
      <c r="F34" s="16"/>
      <c r="G34" s="16"/>
    </row>
    <row r="35" spans="1:7" ht="16.5" customHeight="1">
      <c r="A35" s="455" t="s">
        <v>382</v>
      </c>
      <c r="B35" s="456"/>
      <c r="C35" s="456"/>
      <c r="D35" s="456"/>
      <c r="E35" s="456"/>
      <c r="F35" s="456"/>
      <c r="G35" s="456"/>
    </row>
    <row r="36" spans="1:7">
      <c r="A36" s="457" t="s">
        <v>574</v>
      </c>
      <c r="B36" s="456"/>
      <c r="C36" s="456"/>
      <c r="D36" s="456"/>
      <c r="E36" s="456"/>
      <c r="F36" s="456"/>
      <c r="G36" s="456"/>
    </row>
    <row r="37" spans="1:7">
      <c r="A37" s="456"/>
      <c r="B37" s="456"/>
      <c r="C37" s="456"/>
      <c r="D37" s="456"/>
      <c r="E37" s="456"/>
      <c r="F37" s="456"/>
      <c r="G37" s="456"/>
    </row>
    <row r="38" spans="1:7" ht="13.5" thickBot="1">
      <c r="A38" s="16"/>
      <c r="B38" s="16"/>
      <c r="C38" s="16"/>
      <c r="D38" s="16"/>
      <c r="E38" s="16"/>
      <c r="F38" s="16"/>
      <c r="G38" s="16"/>
    </row>
    <row r="39" spans="1:7" ht="15.75">
      <c r="A39" s="55" t="s">
        <v>172</v>
      </c>
      <c r="B39" s="429" t="s">
        <v>349</v>
      </c>
      <c r="C39" s="430"/>
      <c r="D39" s="430"/>
      <c r="E39" s="429" t="s">
        <v>350</v>
      </c>
      <c r="F39" s="430"/>
      <c r="G39" s="431"/>
    </row>
    <row r="40" spans="1:7" ht="24.95" customHeight="1">
      <c r="A40" s="78" t="s">
        <v>278</v>
      </c>
      <c r="B40" s="420" t="s">
        <v>351</v>
      </c>
      <c r="C40" s="421" t="s">
        <v>213</v>
      </c>
      <c r="D40" s="421"/>
      <c r="E40" s="422" t="s">
        <v>352</v>
      </c>
      <c r="F40" s="423"/>
      <c r="G40" s="423"/>
    </row>
    <row r="41" spans="1:7" ht="24.95" customHeight="1">
      <c r="A41" s="78" t="s">
        <v>278</v>
      </c>
      <c r="B41" s="420" t="s">
        <v>351</v>
      </c>
      <c r="C41" s="421" t="s">
        <v>337</v>
      </c>
      <c r="D41" s="421"/>
      <c r="E41" s="422" t="s">
        <v>352</v>
      </c>
      <c r="F41" s="423"/>
      <c r="G41" s="423"/>
    </row>
    <row r="42" spans="1:7" ht="24.95" customHeight="1">
      <c r="A42" s="78" t="s">
        <v>278</v>
      </c>
      <c r="B42" s="420" t="s">
        <v>351</v>
      </c>
      <c r="C42" s="421" t="s">
        <v>337</v>
      </c>
      <c r="D42" s="421"/>
      <c r="E42" s="422" t="s">
        <v>352</v>
      </c>
      <c r="F42" s="423"/>
      <c r="G42" s="423"/>
    </row>
    <row r="43" spans="1:7" ht="24.95" customHeight="1">
      <c r="A43" s="78" t="s">
        <v>278</v>
      </c>
      <c r="B43" s="420" t="s">
        <v>351</v>
      </c>
      <c r="C43" s="421" t="s">
        <v>337</v>
      </c>
      <c r="D43" s="421"/>
      <c r="E43" s="422" t="s">
        <v>352</v>
      </c>
      <c r="F43" s="423"/>
      <c r="G43" s="423"/>
    </row>
    <row r="44" spans="1:7" ht="24.95" customHeight="1">
      <c r="A44" s="78" t="s">
        <v>278</v>
      </c>
      <c r="B44" s="420" t="s">
        <v>351</v>
      </c>
      <c r="C44" s="421" t="s">
        <v>337</v>
      </c>
      <c r="D44" s="421"/>
      <c r="E44" s="422" t="s">
        <v>352</v>
      </c>
      <c r="F44" s="423"/>
      <c r="G44" s="423"/>
    </row>
    <row r="45" spans="1:7" ht="24.95" customHeight="1">
      <c r="A45" s="78" t="s">
        <v>278</v>
      </c>
      <c r="B45" s="420" t="s">
        <v>351</v>
      </c>
      <c r="C45" s="421" t="s">
        <v>337</v>
      </c>
      <c r="D45" s="421"/>
      <c r="E45" s="422" t="s">
        <v>352</v>
      </c>
      <c r="F45" s="423"/>
      <c r="G45" s="423"/>
    </row>
    <row r="46" spans="1:7" ht="24.95" customHeight="1">
      <c r="A46" s="78" t="s">
        <v>278</v>
      </c>
      <c r="B46" s="420" t="s">
        <v>351</v>
      </c>
      <c r="C46" s="421" t="s">
        <v>337</v>
      </c>
      <c r="D46" s="421"/>
      <c r="E46" s="422" t="s">
        <v>352</v>
      </c>
      <c r="F46" s="423"/>
      <c r="G46" s="423"/>
    </row>
    <row r="47" spans="1:7" ht="24.95" customHeight="1">
      <c r="A47" s="78" t="s">
        <v>278</v>
      </c>
      <c r="B47" s="420" t="s">
        <v>351</v>
      </c>
      <c r="C47" s="421" t="s">
        <v>337</v>
      </c>
      <c r="D47" s="421"/>
      <c r="E47" s="422" t="s">
        <v>352</v>
      </c>
      <c r="F47" s="423"/>
      <c r="G47" s="423"/>
    </row>
    <row r="48" spans="1:7" ht="24.95" customHeight="1">
      <c r="A48" s="78" t="s">
        <v>278</v>
      </c>
      <c r="B48" s="420" t="s">
        <v>351</v>
      </c>
      <c r="C48" s="421" t="s">
        <v>337</v>
      </c>
      <c r="D48" s="421"/>
      <c r="E48" s="422" t="s">
        <v>352</v>
      </c>
      <c r="F48" s="423"/>
      <c r="G48" s="423"/>
    </row>
    <row r="49" spans="1:7" ht="24.95" customHeight="1">
      <c r="A49" s="78" t="s">
        <v>278</v>
      </c>
      <c r="B49" s="420" t="s">
        <v>351</v>
      </c>
      <c r="C49" s="421" t="s">
        <v>337</v>
      </c>
      <c r="D49" s="421"/>
      <c r="E49" s="422" t="s">
        <v>352</v>
      </c>
      <c r="F49" s="423"/>
      <c r="G49" s="423"/>
    </row>
    <row r="50" spans="1:7" ht="19.899999999999999" customHeight="1">
      <c r="A50" s="78" t="s">
        <v>278</v>
      </c>
      <c r="B50" s="420" t="s">
        <v>351</v>
      </c>
      <c r="C50" s="421" t="s">
        <v>213</v>
      </c>
      <c r="D50" s="421"/>
      <c r="E50" s="422" t="s">
        <v>352</v>
      </c>
      <c r="F50" s="423"/>
      <c r="G50" s="423"/>
    </row>
    <row r="51" spans="1:7" ht="21.6" customHeight="1">
      <c r="A51" s="78" t="s">
        <v>278</v>
      </c>
      <c r="B51" s="420" t="s">
        <v>351</v>
      </c>
      <c r="C51" s="421" t="s">
        <v>213</v>
      </c>
      <c r="D51" s="421"/>
      <c r="E51" s="422" t="s">
        <v>352</v>
      </c>
      <c r="F51" s="423"/>
      <c r="G51" s="423"/>
    </row>
    <row r="52" spans="1:7" ht="54" customHeight="1" thickBot="1">
      <c r="A52" s="446" t="s">
        <v>573</v>
      </c>
      <c r="B52" s="447"/>
      <c r="C52" s="447"/>
      <c r="D52" s="447"/>
      <c r="E52" s="447"/>
      <c r="F52" s="447"/>
      <c r="G52" s="448"/>
    </row>
    <row r="53" spans="1:7" ht="15.75">
      <c r="A53" s="55" t="s">
        <v>172</v>
      </c>
      <c r="B53" s="429" t="s">
        <v>349</v>
      </c>
      <c r="C53" s="430"/>
      <c r="D53" s="430"/>
      <c r="E53" s="429" t="s">
        <v>350</v>
      </c>
      <c r="F53" s="430"/>
      <c r="G53" s="431"/>
    </row>
    <row r="54" spans="1:7" ht="24.6" customHeight="1">
      <c r="A54" s="78" t="s">
        <v>278</v>
      </c>
      <c r="B54" s="420" t="s">
        <v>351</v>
      </c>
      <c r="C54" s="421" t="s">
        <v>213</v>
      </c>
      <c r="D54" s="421"/>
      <c r="E54" s="422" t="s">
        <v>352</v>
      </c>
      <c r="F54" s="423"/>
      <c r="G54" s="423"/>
    </row>
    <row r="55" spans="1:7" ht="24.6" customHeight="1">
      <c r="A55" s="78" t="s">
        <v>278</v>
      </c>
      <c r="B55" s="420" t="s">
        <v>351</v>
      </c>
      <c r="C55" s="421" t="s">
        <v>213</v>
      </c>
      <c r="D55" s="421"/>
      <c r="E55" s="422" t="s">
        <v>352</v>
      </c>
      <c r="F55" s="423"/>
      <c r="G55" s="423"/>
    </row>
    <row r="56" spans="1:7" ht="24.6" customHeight="1">
      <c r="A56" s="78" t="s">
        <v>278</v>
      </c>
      <c r="B56" s="420" t="s">
        <v>351</v>
      </c>
      <c r="C56" s="421" t="s">
        <v>213</v>
      </c>
      <c r="D56" s="421"/>
      <c r="E56" s="422" t="s">
        <v>352</v>
      </c>
      <c r="F56" s="423"/>
      <c r="G56" s="423"/>
    </row>
    <row r="57" spans="1:7" ht="24.6" customHeight="1">
      <c r="A57" s="78" t="s">
        <v>278</v>
      </c>
      <c r="B57" s="420" t="s">
        <v>351</v>
      </c>
      <c r="C57" s="421" t="s">
        <v>213</v>
      </c>
      <c r="D57" s="421"/>
      <c r="E57" s="422" t="s">
        <v>352</v>
      </c>
      <c r="F57" s="423"/>
      <c r="G57" s="423"/>
    </row>
    <row r="58" spans="1:7" ht="24.6" customHeight="1">
      <c r="A58" s="78" t="s">
        <v>278</v>
      </c>
      <c r="B58" s="420" t="s">
        <v>351</v>
      </c>
      <c r="C58" s="421" t="s">
        <v>213</v>
      </c>
      <c r="D58" s="421"/>
      <c r="E58" s="422" t="s">
        <v>352</v>
      </c>
      <c r="F58" s="423"/>
      <c r="G58" s="423"/>
    </row>
    <row r="59" spans="1:7" ht="24.6" customHeight="1">
      <c r="A59" s="78" t="s">
        <v>278</v>
      </c>
      <c r="B59" s="420" t="s">
        <v>351</v>
      </c>
      <c r="C59" s="421" t="s">
        <v>213</v>
      </c>
      <c r="D59" s="421"/>
      <c r="E59" s="422" t="s">
        <v>352</v>
      </c>
      <c r="F59" s="423"/>
      <c r="G59" s="423"/>
    </row>
    <row r="60" spans="1:7" ht="24" customHeight="1">
      <c r="A60" s="78" t="s">
        <v>278</v>
      </c>
      <c r="B60" s="420" t="s">
        <v>351</v>
      </c>
      <c r="C60" s="421" t="s">
        <v>213</v>
      </c>
      <c r="D60" s="421"/>
      <c r="E60" s="422" t="s">
        <v>352</v>
      </c>
      <c r="F60" s="423"/>
      <c r="G60" s="423"/>
    </row>
    <row r="61" spans="1:7" ht="24.6" customHeight="1">
      <c r="A61" s="78" t="s">
        <v>278</v>
      </c>
      <c r="B61" s="420" t="s">
        <v>351</v>
      </c>
      <c r="C61" s="421" t="s">
        <v>213</v>
      </c>
      <c r="D61" s="421"/>
      <c r="E61" s="422" t="s">
        <v>352</v>
      </c>
      <c r="F61" s="423"/>
      <c r="G61" s="423"/>
    </row>
    <row r="62" spans="1:7" ht="24.6" customHeight="1">
      <c r="A62" s="78" t="s">
        <v>278</v>
      </c>
      <c r="B62" s="420" t="s">
        <v>351</v>
      </c>
      <c r="C62" s="421" t="s">
        <v>213</v>
      </c>
      <c r="D62" s="421"/>
      <c r="E62" s="422" t="s">
        <v>352</v>
      </c>
      <c r="F62" s="423"/>
      <c r="G62" s="423"/>
    </row>
    <row r="63" spans="1:7" ht="24.6" customHeight="1">
      <c r="A63" s="78" t="s">
        <v>278</v>
      </c>
      <c r="B63" s="420" t="s">
        <v>351</v>
      </c>
      <c r="C63" s="421" t="s">
        <v>213</v>
      </c>
      <c r="D63" s="421"/>
      <c r="E63" s="422" t="s">
        <v>352</v>
      </c>
      <c r="F63" s="423"/>
      <c r="G63" s="423"/>
    </row>
    <row r="64" spans="1:7" ht="24" customHeight="1">
      <c r="A64" s="78" t="s">
        <v>278</v>
      </c>
      <c r="B64" s="420" t="s">
        <v>351</v>
      </c>
      <c r="C64" s="421" t="s">
        <v>213</v>
      </c>
      <c r="D64" s="421"/>
      <c r="E64" s="422" t="s">
        <v>352</v>
      </c>
      <c r="F64" s="423"/>
      <c r="G64" s="423"/>
    </row>
    <row r="65" spans="1:7" ht="24.6" customHeight="1">
      <c r="A65" s="78" t="s">
        <v>278</v>
      </c>
      <c r="B65" s="420" t="s">
        <v>351</v>
      </c>
      <c r="C65" s="421" t="s">
        <v>213</v>
      </c>
      <c r="D65" s="421"/>
      <c r="E65" s="422" t="s">
        <v>352</v>
      </c>
      <c r="F65" s="423"/>
      <c r="G65" s="423"/>
    </row>
    <row r="66" spans="1:7" ht="24.6" customHeight="1">
      <c r="A66" s="78" t="s">
        <v>278</v>
      </c>
      <c r="B66" s="420" t="s">
        <v>351</v>
      </c>
      <c r="C66" s="421" t="s">
        <v>213</v>
      </c>
      <c r="D66" s="421"/>
      <c r="E66" s="422" t="s">
        <v>352</v>
      </c>
      <c r="F66" s="423"/>
      <c r="G66" s="423"/>
    </row>
    <row r="67" spans="1:7" ht="24.6" customHeight="1">
      <c r="A67" s="78" t="s">
        <v>278</v>
      </c>
      <c r="B67" s="420" t="s">
        <v>351</v>
      </c>
      <c r="C67" s="421" t="s">
        <v>213</v>
      </c>
      <c r="D67" s="421"/>
      <c r="E67" s="422" t="s">
        <v>352</v>
      </c>
      <c r="F67" s="423"/>
      <c r="G67" s="423"/>
    </row>
    <row r="68" spans="1:7" ht="24.6" customHeight="1">
      <c r="A68" s="78" t="s">
        <v>278</v>
      </c>
      <c r="B68" s="420" t="s">
        <v>351</v>
      </c>
      <c r="C68" s="421" t="s">
        <v>213</v>
      </c>
      <c r="D68" s="421"/>
      <c r="E68" s="422" t="s">
        <v>352</v>
      </c>
      <c r="F68" s="423"/>
      <c r="G68" s="423"/>
    </row>
    <row r="69" spans="1:7" ht="24.6" customHeight="1">
      <c r="A69" s="78" t="s">
        <v>278</v>
      </c>
      <c r="B69" s="420" t="s">
        <v>351</v>
      </c>
      <c r="C69" s="421" t="s">
        <v>213</v>
      </c>
      <c r="D69" s="421"/>
      <c r="E69" s="422" t="s">
        <v>352</v>
      </c>
      <c r="F69" s="423"/>
      <c r="G69" s="423"/>
    </row>
    <row r="70" spans="1:7" ht="24" customHeight="1">
      <c r="A70" s="78" t="s">
        <v>278</v>
      </c>
      <c r="B70" s="420" t="s">
        <v>351</v>
      </c>
      <c r="C70" s="421" t="s">
        <v>213</v>
      </c>
      <c r="D70" s="421"/>
      <c r="E70" s="422" t="s">
        <v>352</v>
      </c>
      <c r="F70" s="423"/>
      <c r="G70" s="423"/>
    </row>
  </sheetData>
  <sheetProtection formatRows="0"/>
  <mergeCells count="89">
    <mergeCell ref="E63:G63"/>
    <mergeCell ref="B57:D57"/>
    <mergeCell ref="E57:G57"/>
    <mergeCell ref="B58:D58"/>
    <mergeCell ref="E58:G58"/>
    <mergeCell ref="B59:D59"/>
    <mergeCell ref="E59:G59"/>
    <mergeCell ref="B40:D40"/>
    <mergeCell ref="B53:D53"/>
    <mergeCell ref="E53:G53"/>
    <mergeCell ref="A52:G52"/>
    <mergeCell ref="C16:G16"/>
    <mergeCell ref="A32:G32"/>
    <mergeCell ref="A35:G35"/>
    <mergeCell ref="A36:G37"/>
    <mergeCell ref="E40:G40"/>
    <mergeCell ref="A17:B17"/>
    <mergeCell ref="A15:B16"/>
    <mergeCell ref="A30:G30"/>
    <mergeCell ref="B42:D42"/>
    <mergeCell ref="E42:G42"/>
    <mergeCell ref="B43:D43"/>
    <mergeCell ref="E43:G43"/>
    <mergeCell ref="C7:G7"/>
    <mergeCell ref="C8:G8"/>
    <mergeCell ref="C10:G10"/>
    <mergeCell ref="A6:B6"/>
    <mergeCell ref="C6:G6"/>
    <mergeCell ref="A9:B9"/>
    <mergeCell ref="C9:G9"/>
    <mergeCell ref="A7:B7"/>
    <mergeCell ref="A8:B8"/>
    <mergeCell ref="A10:B10"/>
    <mergeCell ref="C14:G14"/>
    <mergeCell ref="C15:G15"/>
    <mergeCell ref="C17:G17"/>
    <mergeCell ref="B70:D70"/>
    <mergeCell ref="E70:G70"/>
    <mergeCell ref="B50:D50"/>
    <mergeCell ref="E50:G50"/>
    <mergeCell ref="B51:D51"/>
    <mergeCell ref="E51:G51"/>
    <mergeCell ref="B65:D65"/>
    <mergeCell ref="E65:G65"/>
    <mergeCell ref="B55:D55"/>
    <mergeCell ref="E55:G55"/>
    <mergeCell ref="B68:D68"/>
    <mergeCell ref="E68:G68"/>
    <mergeCell ref="B67:D67"/>
    <mergeCell ref="E67:G67"/>
    <mergeCell ref="B54:D54"/>
    <mergeCell ref="E54:G54"/>
    <mergeCell ref="B69:D69"/>
    <mergeCell ref="E69:G69"/>
    <mergeCell ref="B56:D56"/>
    <mergeCell ref="E56:G56"/>
    <mergeCell ref="B64:D64"/>
    <mergeCell ref="E64:G64"/>
    <mergeCell ref="B60:D60"/>
    <mergeCell ref="E60:G60"/>
    <mergeCell ref="B61:D61"/>
    <mergeCell ref="E61:G61"/>
    <mergeCell ref="B62:D62"/>
    <mergeCell ref="E62:G62"/>
    <mergeCell ref="B63:D63"/>
    <mergeCell ref="B44:D44"/>
    <mergeCell ref="E48:G48"/>
    <mergeCell ref="B49:D49"/>
    <mergeCell ref="E49:G49"/>
    <mergeCell ref="E44:G44"/>
    <mergeCell ref="B45:D45"/>
    <mergeCell ref="E45:G45"/>
    <mergeCell ref="E47:G47"/>
    <mergeCell ref="A12:B12"/>
    <mergeCell ref="C12:G12"/>
    <mergeCell ref="B66:D66"/>
    <mergeCell ref="E66:G66"/>
    <mergeCell ref="A11:B11"/>
    <mergeCell ref="C11:G11"/>
    <mergeCell ref="B39:D39"/>
    <mergeCell ref="E39:G39"/>
    <mergeCell ref="E41:G41"/>
    <mergeCell ref="B41:D41"/>
    <mergeCell ref="B47:D47"/>
    <mergeCell ref="B48:D48"/>
    <mergeCell ref="B46:D46"/>
    <mergeCell ref="E46:G46"/>
    <mergeCell ref="A13:B14"/>
    <mergeCell ref="C13:G13"/>
  </mergeCells>
  <phoneticPr fontId="31" type="noConversion"/>
  <dataValidations count="1">
    <dataValidation type="list" allowBlank="1" showInputMessage="1" showErrorMessage="1" sqref="C9:G9" xr:uid="{B4849D8F-6785-4DBB-8FF3-B9D58C6D0F4F}">
      <formula1>"Provisional Assessment, Preliminary Final Assessment, Final Assessment"</formula1>
    </dataValidation>
  </dataValidations>
  <pageMargins left="0.70866141732283472" right="0.70866141732283472" top="0.74803149606299213" bottom="0.74803149606299213" header="0.31496062992125984" footer="0.31496062992125984"/>
  <pageSetup paperSize="9" scale="89" orientation="portrait" r:id="rId1"/>
  <rowBreaks count="2" manualBreakCount="2">
    <brk id="33" max="6" man="1"/>
    <brk id="51" max="6"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X340"/>
  <sheetViews>
    <sheetView tabSelected="1" view="pageBreakPreview" zoomScale="85" zoomScaleNormal="85" zoomScaleSheetLayoutView="85" zoomScalePageLayoutView="85" workbookViewId="0">
      <selection activeCell="J1" sqref="J1"/>
    </sheetView>
  </sheetViews>
  <sheetFormatPr defaultColWidth="9" defaultRowHeight="12.75"/>
  <cols>
    <col min="1" max="1" width="8.7109375" customWidth="1"/>
    <col min="2" max="2" width="1.28515625" customWidth="1"/>
    <col min="3" max="3" width="62.7109375" customWidth="1"/>
    <col min="4" max="4" width="1.28515625" customWidth="1"/>
    <col min="5" max="5" width="12.7109375" customWidth="1"/>
    <col min="6" max="8" width="19.7109375" customWidth="1"/>
    <col min="9" max="9" width="33.28515625" style="91" customWidth="1"/>
    <col min="10" max="18" width="9" customWidth="1"/>
    <col min="19" max="19" width="9" style="84" customWidth="1"/>
    <col min="20" max="20" width="72.5703125" customWidth="1"/>
    <col min="21" max="25" width="9" customWidth="1"/>
    <col min="26" max="26" width="9" hidden="1" customWidth="1"/>
    <col min="27" max="152" width="9" customWidth="1"/>
    <col min="154" max="156" width="9.140625" customWidth="1"/>
  </cols>
  <sheetData>
    <row r="1" spans="1:154">
      <c r="A1" s="391"/>
      <c r="B1" s="391"/>
      <c r="C1" s="391"/>
      <c r="D1" s="391"/>
      <c r="E1" s="391"/>
      <c r="F1" s="16"/>
      <c r="G1" s="16"/>
      <c r="H1" s="16"/>
      <c r="I1" s="16"/>
      <c r="J1" s="253" t="s">
        <v>661</v>
      </c>
      <c r="K1" s="16"/>
      <c r="L1" s="16"/>
      <c r="S1"/>
      <c r="Z1">
        <v>11</v>
      </c>
    </row>
    <row r="2" spans="1:154">
      <c r="A2" s="391"/>
      <c r="B2" s="391"/>
      <c r="C2" s="391"/>
      <c r="D2" s="391"/>
      <c r="E2" s="392" t="str">
        <f>'Project Summary'!C6</f>
        <v>2123-123XX(x)</v>
      </c>
      <c r="F2" s="64"/>
      <c r="G2" s="16"/>
      <c r="H2" s="16"/>
      <c r="I2" s="64"/>
      <c r="J2" s="16"/>
      <c r="K2" s="16"/>
      <c r="L2" s="16"/>
      <c r="S2"/>
      <c r="Z2">
        <v>17</v>
      </c>
    </row>
    <row r="3" spans="1:154">
      <c r="A3" s="391"/>
      <c r="B3" s="391"/>
      <c r="C3" s="391"/>
      <c r="D3" s="391"/>
      <c r="E3" s="392" t="str">
        <f>"BEAM Plus " &amp; 'Project Summary'!C9 &amp; " Report For"</f>
        <v>BEAM Plus Provisional Assessment Report For</v>
      </c>
      <c r="F3" s="64"/>
      <c r="G3" s="16"/>
      <c r="H3" s="16"/>
      <c r="I3" s="64"/>
      <c r="J3" s="16"/>
      <c r="K3" s="16"/>
      <c r="L3" s="16"/>
      <c r="S3"/>
      <c r="Z3">
        <v>23</v>
      </c>
    </row>
    <row r="4" spans="1:154">
      <c r="A4" s="391" t="s">
        <v>333</v>
      </c>
      <c r="B4" s="391"/>
      <c r="C4" s="391"/>
      <c r="D4" s="391"/>
      <c r="E4" s="392" t="str">
        <f>'Project Summary'!C7</f>
        <v>ABC Residential Development</v>
      </c>
      <c r="F4" s="64"/>
      <c r="I4" s="64"/>
      <c r="J4" s="16"/>
      <c r="K4" s="16"/>
      <c r="L4" s="16"/>
      <c r="S4"/>
      <c r="Z4">
        <v>28</v>
      </c>
    </row>
    <row r="5" spans="1:154" ht="12.75" customHeight="1" thickBot="1">
      <c r="A5" s="250"/>
      <c r="B5" s="250"/>
      <c r="C5" s="250"/>
      <c r="D5" s="250"/>
      <c r="E5" s="250"/>
      <c r="F5" s="110"/>
      <c r="G5" s="110"/>
      <c r="H5" s="110"/>
      <c r="I5" s="110"/>
      <c r="J5" s="16"/>
      <c r="K5" s="16"/>
      <c r="L5" s="16"/>
      <c r="S5"/>
      <c r="Z5">
        <v>34</v>
      </c>
    </row>
    <row r="6" spans="1:154" ht="22.5" customHeight="1">
      <c r="A6" s="485" t="s">
        <v>171</v>
      </c>
      <c r="B6" s="486"/>
      <c r="C6" s="487"/>
      <c r="D6" s="339"/>
      <c r="E6" s="340" t="s">
        <v>172</v>
      </c>
      <c r="F6" s="320" t="s">
        <v>56</v>
      </c>
      <c r="G6" s="117" t="s">
        <v>660</v>
      </c>
      <c r="H6" s="117" t="s">
        <v>57</v>
      </c>
      <c r="I6" s="118" t="s">
        <v>422</v>
      </c>
      <c r="J6" s="16"/>
      <c r="K6" s="16"/>
      <c r="L6" s="16"/>
      <c r="S6"/>
      <c r="Z6">
        <v>39</v>
      </c>
    </row>
    <row r="7" spans="1:154" ht="22.5" customHeight="1">
      <c r="A7" s="115" t="s">
        <v>173</v>
      </c>
      <c r="B7" s="126"/>
      <c r="C7" s="126" t="s">
        <v>67</v>
      </c>
      <c r="D7" s="127"/>
      <c r="E7" s="305"/>
      <c r="F7" s="464"/>
      <c r="G7" s="465"/>
      <c r="H7" s="465"/>
      <c r="I7" s="466"/>
      <c r="J7" s="16"/>
      <c r="K7" s="16"/>
      <c r="L7" s="16"/>
      <c r="S7"/>
      <c r="Z7">
        <v>44</v>
      </c>
    </row>
    <row r="8" spans="1:154" ht="22.5" customHeight="1">
      <c r="A8" s="120" t="s">
        <v>174</v>
      </c>
      <c r="B8" s="141"/>
      <c r="C8" s="139" t="s">
        <v>470</v>
      </c>
      <c r="D8" s="140"/>
      <c r="E8" s="479" t="str">
        <f>H8</f>
        <v>Insert No. of Credit(s) Here</v>
      </c>
      <c r="F8" s="470" t="s">
        <v>10</v>
      </c>
      <c r="G8" s="473" t="s">
        <v>435</v>
      </c>
      <c r="H8" s="473" t="s">
        <v>435</v>
      </c>
      <c r="I8" s="488" t="s">
        <v>471</v>
      </c>
      <c r="J8" s="16"/>
      <c r="K8" s="16"/>
      <c r="L8" s="16"/>
      <c r="S8"/>
      <c r="Z8">
        <v>50</v>
      </c>
    </row>
    <row r="9" spans="1:154" ht="25.5">
      <c r="A9" s="125"/>
      <c r="B9" s="142"/>
      <c r="C9" s="60" t="s">
        <v>472</v>
      </c>
      <c r="D9" s="129"/>
      <c r="E9" s="480"/>
      <c r="F9" s="471"/>
      <c r="G9" s="474"/>
      <c r="H9" s="474"/>
      <c r="I9" s="489"/>
      <c r="J9" s="16"/>
      <c r="K9" s="16"/>
      <c r="L9" s="16"/>
      <c r="S9"/>
      <c r="Z9">
        <v>54</v>
      </c>
      <c r="EX9" t="s">
        <v>213</v>
      </c>
    </row>
    <row r="10" spans="1:154">
      <c r="A10" s="125"/>
      <c r="B10" s="142"/>
      <c r="C10" s="60"/>
      <c r="D10" s="129"/>
      <c r="E10" s="480"/>
      <c r="F10" s="471"/>
      <c r="G10" s="474"/>
      <c r="H10" s="474"/>
      <c r="I10" s="489"/>
      <c r="J10" s="16"/>
      <c r="K10" s="16"/>
      <c r="L10" s="16"/>
      <c r="S10"/>
      <c r="Z10">
        <v>59</v>
      </c>
    </row>
    <row r="11" spans="1:154">
      <c r="A11" s="125"/>
      <c r="B11" s="142"/>
      <c r="C11" s="223" t="s">
        <v>430</v>
      </c>
      <c r="D11" s="130"/>
      <c r="E11" s="480"/>
      <c r="F11" s="471"/>
      <c r="G11" s="474"/>
      <c r="H11" s="474"/>
      <c r="I11" s="489"/>
      <c r="J11" s="16"/>
      <c r="K11" s="16"/>
      <c r="L11" s="16"/>
      <c r="S11"/>
      <c r="Z11">
        <v>64</v>
      </c>
    </row>
    <row r="12" spans="1:154" ht="30" customHeight="1">
      <c r="A12" s="341"/>
      <c r="B12" s="143"/>
      <c r="C12" s="180" t="str">
        <f>IFERROR(VLOOKUP($E8,$V:$W,2,FALSE),"-")</f>
        <v>-</v>
      </c>
      <c r="D12" s="144"/>
      <c r="E12" s="481"/>
      <c r="F12" s="472"/>
      <c r="G12" s="475"/>
      <c r="H12" s="475"/>
      <c r="I12" s="490"/>
      <c r="J12" s="16"/>
      <c r="K12" s="16"/>
      <c r="L12" s="16"/>
      <c r="S12"/>
      <c r="Z12">
        <v>70</v>
      </c>
    </row>
    <row r="13" spans="1:154" ht="22.5" customHeight="1">
      <c r="A13" s="115">
        <v>2.1</v>
      </c>
      <c r="B13" s="342"/>
      <c r="C13" s="126" t="s">
        <v>58</v>
      </c>
      <c r="D13" s="127"/>
      <c r="E13" s="305"/>
      <c r="F13" s="150"/>
      <c r="G13" s="126"/>
      <c r="H13" s="126"/>
      <c r="I13" s="127"/>
      <c r="J13" s="16"/>
      <c r="K13" s="16"/>
      <c r="L13" s="16"/>
      <c r="S13"/>
      <c r="Z13">
        <v>75</v>
      </c>
    </row>
    <row r="14" spans="1:154" ht="22.5" customHeight="1">
      <c r="A14" s="120" t="s">
        <v>59</v>
      </c>
      <c r="B14" s="141"/>
      <c r="C14" s="139" t="s">
        <v>175</v>
      </c>
      <c r="D14" s="140"/>
      <c r="E14" s="479" t="str">
        <f>IF(H14=1,"1B",H14)</f>
        <v>Insert No. of Credit(s) Here</v>
      </c>
      <c r="F14" s="470" t="s">
        <v>60</v>
      </c>
      <c r="G14" s="473" t="s">
        <v>435</v>
      </c>
      <c r="H14" s="473" t="s">
        <v>435</v>
      </c>
      <c r="I14" s="488" t="s">
        <v>418</v>
      </c>
      <c r="J14" s="16"/>
      <c r="K14" s="16"/>
      <c r="L14" s="16"/>
      <c r="S14"/>
      <c r="Z14">
        <v>81</v>
      </c>
    </row>
    <row r="15" spans="1:154" ht="38.25">
      <c r="A15" s="379" t="s">
        <v>192</v>
      </c>
      <c r="B15" s="145"/>
      <c r="C15" s="60" t="s">
        <v>176</v>
      </c>
      <c r="D15" s="129"/>
      <c r="E15" s="480"/>
      <c r="F15" s="471"/>
      <c r="G15" s="474"/>
      <c r="H15" s="474"/>
      <c r="I15" s="489"/>
      <c r="J15" s="16"/>
      <c r="K15" s="16"/>
      <c r="L15" s="16"/>
      <c r="S15"/>
      <c r="Z15">
        <v>86</v>
      </c>
    </row>
    <row r="16" spans="1:154">
      <c r="A16" s="121"/>
      <c r="B16" s="145"/>
      <c r="C16" s="60"/>
      <c r="D16" s="129"/>
      <c r="E16" s="480"/>
      <c r="F16" s="471"/>
      <c r="G16" s="474"/>
      <c r="H16" s="474"/>
      <c r="I16" s="489"/>
      <c r="J16" s="16"/>
      <c r="K16" s="16"/>
      <c r="L16" s="16"/>
      <c r="S16"/>
      <c r="Z16">
        <v>91</v>
      </c>
    </row>
    <row r="17" spans="1:26">
      <c r="A17" s="121"/>
      <c r="B17" s="145"/>
      <c r="C17" s="223" t="s">
        <v>430</v>
      </c>
      <c r="D17" s="131"/>
      <c r="E17" s="480"/>
      <c r="F17" s="471"/>
      <c r="G17" s="474"/>
      <c r="H17" s="474"/>
      <c r="I17" s="489"/>
      <c r="J17" s="16"/>
      <c r="K17" s="16"/>
      <c r="L17" s="16"/>
      <c r="S17"/>
      <c r="Z17">
        <v>96</v>
      </c>
    </row>
    <row r="18" spans="1:26" ht="30" customHeight="1">
      <c r="A18" s="122"/>
      <c r="B18" s="146"/>
      <c r="C18" s="180" t="str">
        <f>IFERROR(VLOOKUP($E14,$S:$T,2,FALSE),"-")</f>
        <v>-</v>
      </c>
      <c r="D18" s="144"/>
      <c r="E18" s="481"/>
      <c r="F18" s="472"/>
      <c r="G18" s="475"/>
      <c r="H18" s="475"/>
      <c r="I18" s="490"/>
      <c r="J18" s="16"/>
      <c r="K18" s="16"/>
      <c r="L18" s="16"/>
      <c r="S18"/>
      <c r="Z18">
        <v>101</v>
      </c>
    </row>
    <row r="19" spans="1:26" ht="22.5" customHeight="1">
      <c r="A19" s="120" t="s">
        <v>61</v>
      </c>
      <c r="B19" s="141"/>
      <c r="C19" s="139" t="s">
        <v>179</v>
      </c>
      <c r="D19" s="140"/>
      <c r="E19" s="479" t="str">
        <f>H19</f>
        <v>Insert No. of Credit(s) Here</v>
      </c>
      <c r="F19" s="470" t="str">
        <f>IF(H19="NA","NA",IF(OR(H19="NS",H19=0,H19=1,H19=2),2,"-"))</f>
        <v>-</v>
      </c>
      <c r="G19" s="473" t="s">
        <v>435</v>
      </c>
      <c r="H19" s="473" t="s">
        <v>435</v>
      </c>
      <c r="I19" s="467"/>
      <c r="J19" s="16"/>
      <c r="K19" s="16"/>
      <c r="L19" s="16"/>
      <c r="S19"/>
      <c r="Z19">
        <v>107</v>
      </c>
    </row>
    <row r="20" spans="1:26" ht="22.5" customHeight="1">
      <c r="A20" s="124" t="s">
        <v>177</v>
      </c>
      <c r="B20" s="147"/>
      <c r="C20" s="59" t="s">
        <v>180</v>
      </c>
      <c r="D20" s="132"/>
      <c r="E20" s="480"/>
      <c r="F20" s="471"/>
      <c r="G20" s="474"/>
      <c r="H20" s="474"/>
      <c r="I20" s="468"/>
      <c r="J20" s="16"/>
      <c r="K20" s="16"/>
      <c r="L20" s="16"/>
      <c r="S20"/>
      <c r="Z20">
        <v>112</v>
      </c>
    </row>
    <row r="21" spans="1:26" ht="63.75">
      <c r="A21" s="379" t="s">
        <v>178</v>
      </c>
      <c r="B21" s="148"/>
      <c r="C21" s="60" t="s">
        <v>473</v>
      </c>
      <c r="D21" s="129"/>
      <c r="E21" s="480"/>
      <c r="F21" s="471"/>
      <c r="G21" s="474"/>
      <c r="H21" s="474"/>
      <c r="I21" s="468"/>
      <c r="J21" s="16"/>
      <c r="K21" s="16"/>
      <c r="L21" s="16"/>
      <c r="S21"/>
      <c r="Z21">
        <v>117</v>
      </c>
    </row>
    <row r="22" spans="1:26">
      <c r="A22" s="121"/>
      <c r="B22" s="148"/>
      <c r="C22" s="60"/>
      <c r="D22" s="129"/>
      <c r="E22" s="480"/>
      <c r="F22" s="471"/>
      <c r="G22" s="474"/>
      <c r="H22" s="474"/>
      <c r="I22" s="468"/>
      <c r="J22" s="16"/>
      <c r="K22" s="16"/>
      <c r="L22" s="16"/>
      <c r="S22"/>
      <c r="Z22">
        <v>122</v>
      </c>
    </row>
    <row r="23" spans="1:26">
      <c r="A23" s="123"/>
      <c r="B23" s="149"/>
      <c r="C23" s="223" t="s">
        <v>430</v>
      </c>
      <c r="D23" s="133"/>
      <c r="E23" s="480"/>
      <c r="F23" s="471"/>
      <c r="G23" s="474"/>
      <c r="H23" s="474"/>
      <c r="I23" s="468"/>
      <c r="J23" s="16"/>
      <c r="K23" s="16"/>
      <c r="L23" s="16"/>
      <c r="S23"/>
      <c r="Z23">
        <v>127</v>
      </c>
    </row>
    <row r="24" spans="1:26" ht="30" customHeight="1">
      <c r="A24" s="122"/>
      <c r="B24" s="146"/>
      <c r="C24" s="180" t="str">
        <f>IFERROR(VLOOKUP($E19,$S:$T,2,FALSE),"-")</f>
        <v>-</v>
      </c>
      <c r="D24" s="144"/>
      <c r="E24" s="481"/>
      <c r="F24" s="472"/>
      <c r="G24" s="475"/>
      <c r="H24" s="475"/>
      <c r="I24" s="468"/>
      <c r="J24" s="16"/>
      <c r="K24" s="16"/>
      <c r="L24" s="16"/>
      <c r="S24"/>
    </row>
    <row r="25" spans="1:26" ht="22.5" customHeight="1">
      <c r="A25" s="120" t="s">
        <v>181</v>
      </c>
      <c r="B25" s="141"/>
      <c r="C25" s="139" t="s">
        <v>183</v>
      </c>
      <c r="D25" s="140"/>
      <c r="E25" s="479" t="str">
        <f>H25</f>
        <v>Insert No. of Credit(s) Here</v>
      </c>
      <c r="F25" s="471" t="str">
        <f>IF(H25="NA","NA",IF(OR(H25="NS",H25=0,H25=1),1,"-"))</f>
        <v>-</v>
      </c>
      <c r="G25" s="474" t="s">
        <v>435</v>
      </c>
      <c r="H25" s="474" t="s">
        <v>435</v>
      </c>
      <c r="I25" s="468"/>
      <c r="J25" s="16"/>
      <c r="K25" s="16"/>
      <c r="L25" s="16"/>
      <c r="S25"/>
      <c r="T25" s="18"/>
    </row>
    <row r="26" spans="1:26" ht="25.5">
      <c r="A26" s="379" t="s">
        <v>182</v>
      </c>
      <c r="B26" s="148"/>
      <c r="C26" s="60" t="s">
        <v>184</v>
      </c>
      <c r="D26" s="134"/>
      <c r="E26" s="480"/>
      <c r="F26" s="471"/>
      <c r="G26" s="474"/>
      <c r="H26" s="474"/>
      <c r="I26" s="468"/>
      <c r="J26" s="16"/>
      <c r="K26" s="16"/>
      <c r="L26" s="16"/>
      <c r="S26"/>
    </row>
    <row r="27" spans="1:26">
      <c r="A27" s="121"/>
      <c r="B27" s="148"/>
      <c r="C27" s="82"/>
      <c r="D27" s="134"/>
      <c r="E27" s="480"/>
      <c r="F27" s="471"/>
      <c r="G27" s="474"/>
      <c r="H27" s="474"/>
      <c r="I27" s="468"/>
      <c r="J27" s="16"/>
      <c r="K27" s="16"/>
      <c r="L27" s="16"/>
      <c r="S27"/>
    </row>
    <row r="28" spans="1:26">
      <c r="A28" s="121"/>
      <c r="B28" s="148"/>
      <c r="C28" s="223" t="s">
        <v>430</v>
      </c>
      <c r="D28" s="131"/>
      <c r="E28" s="480"/>
      <c r="F28" s="471"/>
      <c r="G28" s="474"/>
      <c r="H28" s="474"/>
      <c r="I28" s="468"/>
      <c r="J28" s="16"/>
      <c r="K28" s="16"/>
      <c r="L28" s="16"/>
      <c r="S28"/>
    </row>
    <row r="29" spans="1:26" ht="30" customHeight="1">
      <c r="A29" s="122"/>
      <c r="B29" s="146"/>
      <c r="C29" s="180" t="str">
        <f>IFERROR(VLOOKUP($E25,$S:$T,2,FALSE),"-")</f>
        <v>-</v>
      </c>
      <c r="D29" s="144"/>
      <c r="E29" s="481"/>
      <c r="F29" s="472"/>
      <c r="G29" s="475"/>
      <c r="H29" s="475"/>
      <c r="I29" s="469"/>
      <c r="J29" s="16"/>
      <c r="K29" s="16"/>
      <c r="L29" s="16"/>
      <c r="S29"/>
    </row>
    <row r="30" spans="1:26" ht="22.5" customHeight="1">
      <c r="A30" s="120" t="s">
        <v>17</v>
      </c>
      <c r="B30" s="141"/>
      <c r="C30" s="139" t="s">
        <v>577</v>
      </c>
      <c r="D30" s="140"/>
      <c r="E30" s="479" t="str">
        <f>H30</f>
        <v>Insert No. of Credit(s) Here</v>
      </c>
      <c r="F30" s="470" t="str">
        <f>IF(H30="NA","NA",IF(OR(H30="NS",H30=0,H30=1),1,"-"))</f>
        <v>-</v>
      </c>
      <c r="G30" s="473" t="s">
        <v>435</v>
      </c>
      <c r="H30" s="473" t="s">
        <v>435</v>
      </c>
      <c r="I30" s="489" t="s">
        <v>599</v>
      </c>
      <c r="J30" s="16"/>
      <c r="K30" s="16"/>
      <c r="L30" s="16"/>
      <c r="S30"/>
    </row>
    <row r="31" spans="1:26" ht="22.5" customHeight="1">
      <c r="A31" s="124" t="s">
        <v>185</v>
      </c>
      <c r="B31" s="147"/>
      <c r="C31" s="59" t="s">
        <v>186</v>
      </c>
      <c r="D31" s="132"/>
      <c r="E31" s="480"/>
      <c r="F31" s="471"/>
      <c r="G31" s="474"/>
      <c r="H31" s="474"/>
      <c r="I31" s="489"/>
      <c r="J31" s="16"/>
      <c r="K31" s="16"/>
      <c r="L31" s="16"/>
      <c r="S31"/>
    </row>
    <row r="32" spans="1:26" ht="38.25">
      <c r="A32" s="379" t="s">
        <v>182</v>
      </c>
      <c r="B32" s="148"/>
      <c r="C32" s="60" t="s">
        <v>474</v>
      </c>
      <c r="D32" s="134"/>
      <c r="E32" s="480"/>
      <c r="F32" s="471"/>
      <c r="G32" s="474"/>
      <c r="H32" s="474"/>
      <c r="I32" s="489"/>
      <c r="J32" s="16"/>
      <c r="K32" s="16"/>
      <c r="L32" s="16"/>
      <c r="S32"/>
    </row>
    <row r="33" spans="1:19">
      <c r="A33" s="121"/>
      <c r="B33" s="148"/>
      <c r="C33" s="82"/>
      <c r="D33" s="134"/>
      <c r="E33" s="480"/>
      <c r="F33" s="471"/>
      <c r="G33" s="474"/>
      <c r="H33" s="474"/>
      <c r="I33" s="489"/>
      <c r="J33" s="16"/>
      <c r="K33" s="16"/>
      <c r="L33" s="16"/>
      <c r="S33"/>
    </row>
    <row r="34" spans="1:19">
      <c r="A34" s="123"/>
      <c r="B34" s="149"/>
      <c r="C34" s="223" t="s">
        <v>430</v>
      </c>
      <c r="D34" s="131"/>
      <c r="E34" s="480"/>
      <c r="F34" s="471"/>
      <c r="G34" s="474"/>
      <c r="H34" s="474"/>
      <c r="I34" s="489"/>
      <c r="J34" s="16"/>
      <c r="K34" s="16"/>
      <c r="L34" s="16"/>
      <c r="S34"/>
    </row>
    <row r="35" spans="1:19" ht="30" customHeight="1">
      <c r="A35" s="122"/>
      <c r="B35" s="146"/>
      <c r="C35" s="180" t="str">
        <f>IFERROR(VLOOKUP($E30,$S:$T,2,FALSE),"-")</f>
        <v>-</v>
      </c>
      <c r="D35" s="144"/>
      <c r="E35" s="481"/>
      <c r="F35" s="472"/>
      <c r="G35" s="475"/>
      <c r="H35" s="475"/>
      <c r="I35" s="489"/>
      <c r="J35" s="16"/>
      <c r="K35" s="16"/>
      <c r="L35" s="16"/>
      <c r="S35"/>
    </row>
    <row r="36" spans="1:19" ht="22.5" customHeight="1">
      <c r="A36" s="120" t="s">
        <v>187</v>
      </c>
      <c r="B36" s="141"/>
      <c r="C36" s="139" t="s">
        <v>188</v>
      </c>
      <c r="D36" s="140"/>
      <c r="E36" s="479" t="str">
        <f>H36</f>
        <v>Insert No. of Credit(s) Here</v>
      </c>
      <c r="F36" s="470" t="str">
        <f>IF(H36="NA","NA",IF(OR(H36="NS",H36=0,H36=1),1,"-"))</f>
        <v>-</v>
      </c>
      <c r="G36" s="473" t="s">
        <v>435</v>
      </c>
      <c r="H36" s="473" t="s">
        <v>435</v>
      </c>
      <c r="I36" s="489"/>
      <c r="J36" s="16"/>
      <c r="K36" s="16"/>
      <c r="L36" s="16"/>
      <c r="S36"/>
    </row>
    <row r="37" spans="1:19" ht="38.25">
      <c r="A37" s="379" t="s">
        <v>182</v>
      </c>
      <c r="B37" s="148"/>
      <c r="C37" s="60" t="s">
        <v>475</v>
      </c>
      <c r="D37" s="134"/>
      <c r="E37" s="480"/>
      <c r="F37" s="471"/>
      <c r="G37" s="474"/>
      <c r="H37" s="474"/>
      <c r="I37" s="489"/>
      <c r="J37" s="16"/>
      <c r="K37" s="16"/>
      <c r="L37" s="16"/>
      <c r="S37"/>
    </row>
    <row r="38" spans="1:19">
      <c r="A38" s="121"/>
      <c r="B38" s="148"/>
      <c r="C38" s="82"/>
      <c r="D38" s="134"/>
      <c r="E38" s="480"/>
      <c r="F38" s="471"/>
      <c r="G38" s="474"/>
      <c r="H38" s="474"/>
      <c r="I38" s="489"/>
      <c r="J38" s="16"/>
      <c r="K38" s="16"/>
      <c r="L38" s="16"/>
      <c r="S38"/>
    </row>
    <row r="39" spans="1:19">
      <c r="A39" s="121"/>
      <c r="B39" s="148"/>
      <c r="C39" s="223" t="s">
        <v>430</v>
      </c>
      <c r="D39" s="131"/>
      <c r="E39" s="480"/>
      <c r="F39" s="471"/>
      <c r="G39" s="474"/>
      <c r="H39" s="474"/>
      <c r="I39" s="489"/>
      <c r="J39" s="16"/>
      <c r="K39" s="16"/>
      <c r="L39" s="16"/>
      <c r="S39"/>
    </row>
    <row r="40" spans="1:19" ht="30" customHeight="1">
      <c r="A40" s="122"/>
      <c r="B40" s="146"/>
      <c r="C40" s="180" t="str">
        <f>IFERROR(VLOOKUP($E36,$S:$T,2,FALSE),"-")</f>
        <v>-</v>
      </c>
      <c r="D40" s="144"/>
      <c r="E40" s="481"/>
      <c r="F40" s="472"/>
      <c r="G40" s="475"/>
      <c r="H40" s="475"/>
      <c r="I40" s="489"/>
      <c r="J40" s="16"/>
      <c r="K40" s="16"/>
      <c r="L40" s="16"/>
      <c r="S40"/>
    </row>
    <row r="41" spans="1:19" ht="22.5" customHeight="1">
      <c r="A41" s="120" t="s">
        <v>189</v>
      </c>
      <c r="B41" s="141"/>
      <c r="C41" s="139" t="s">
        <v>438</v>
      </c>
      <c r="D41" s="140"/>
      <c r="E41" s="479" t="str">
        <f>H41</f>
        <v>Insert No. of Credit(s) Here</v>
      </c>
      <c r="F41" s="470" t="str">
        <f>IF(H41="NA","NA",IF(OR(H41="NS",H41=0,H41=1),1,"-"))</f>
        <v>-</v>
      </c>
      <c r="G41" s="473" t="s">
        <v>435</v>
      </c>
      <c r="H41" s="473" t="s">
        <v>435</v>
      </c>
      <c r="I41" s="489"/>
      <c r="J41" s="16"/>
      <c r="K41" s="16"/>
      <c r="L41" s="16"/>
      <c r="S41"/>
    </row>
    <row r="42" spans="1:19" ht="38.25">
      <c r="A42" s="379" t="s">
        <v>182</v>
      </c>
      <c r="B42" s="148"/>
      <c r="C42" s="60" t="s">
        <v>190</v>
      </c>
      <c r="D42" s="134"/>
      <c r="E42" s="480"/>
      <c r="F42" s="471"/>
      <c r="G42" s="474"/>
      <c r="H42" s="474"/>
      <c r="I42" s="489"/>
      <c r="J42" s="16"/>
      <c r="K42" s="16"/>
      <c r="L42" s="16"/>
      <c r="S42"/>
    </row>
    <row r="43" spans="1:19">
      <c r="A43" s="121"/>
      <c r="B43" s="148"/>
      <c r="C43" s="82"/>
      <c r="D43" s="134"/>
      <c r="E43" s="480"/>
      <c r="F43" s="471"/>
      <c r="G43" s="474"/>
      <c r="H43" s="474"/>
      <c r="I43" s="489"/>
      <c r="J43" s="16"/>
      <c r="K43" s="16"/>
      <c r="L43" s="16"/>
      <c r="S43"/>
    </row>
    <row r="44" spans="1:19">
      <c r="A44" s="121"/>
      <c r="B44" s="148"/>
      <c r="C44" s="223" t="s">
        <v>430</v>
      </c>
      <c r="D44" s="131"/>
      <c r="E44" s="480"/>
      <c r="F44" s="471"/>
      <c r="G44" s="474"/>
      <c r="H44" s="474"/>
      <c r="I44" s="489"/>
      <c r="J44" s="16"/>
      <c r="K44" s="16"/>
      <c r="L44" s="16"/>
      <c r="S44"/>
    </row>
    <row r="45" spans="1:19" ht="30" customHeight="1">
      <c r="A45" s="122"/>
      <c r="B45" s="146"/>
      <c r="C45" s="180" t="str">
        <f>IFERROR(VLOOKUP($E41,$S:$T,2,FALSE),"-")</f>
        <v>-</v>
      </c>
      <c r="D45" s="144"/>
      <c r="E45" s="481"/>
      <c r="F45" s="471"/>
      <c r="G45" s="474"/>
      <c r="H45" s="474"/>
      <c r="I45" s="489"/>
      <c r="J45" s="16"/>
      <c r="K45" s="16"/>
      <c r="L45" s="16"/>
      <c r="S45"/>
    </row>
    <row r="46" spans="1:19" ht="22.5" customHeight="1">
      <c r="A46" s="115">
        <v>2.2000000000000002</v>
      </c>
      <c r="B46" s="150"/>
      <c r="C46" s="126" t="s">
        <v>18</v>
      </c>
      <c r="D46" s="127"/>
      <c r="E46" s="305"/>
      <c r="F46" s="150"/>
      <c r="G46" s="126"/>
      <c r="H46" s="126"/>
      <c r="I46" s="127"/>
      <c r="J46" s="16"/>
      <c r="K46" s="16"/>
      <c r="L46" s="16"/>
      <c r="S46"/>
    </row>
    <row r="47" spans="1:19" ht="22.5" customHeight="1">
      <c r="A47" s="120" t="s">
        <v>19</v>
      </c>
      <c r="B47" s="141"/>
      <c r="C47" s="139" t="s">
        <v>193</v>
      </c>
      <c r="D47" s="140"/>
      <c r="E47" s="479" t="str">
        <f>H47</f>
        <v>Insert No. of Credit(s) Here</v>
      </c>
      <c r="F47" s="470" t="str">
        <f>IF(H47="NA","NA",IF(OR(H47="NS",H47=0,H47=1),1,"-"))</f>
        <v>-</v>
      </c>
      <c r="G47" s="473" t="s">
        <v>435</v>
      </c>
      <c r="H47" s="473" t="s">
        <v>435</v>
      </c>
      <c r="I47" s="467"/>
      <c r="J47" s="16"/>
      <c r="K47" s="16"/>
      <c r="L47" s="16"/>
      <c r="S47"/>
    </row>
    <row r="48" spans="1:19" ht="63.75">
      <c r="A48" s="379" t="s">
        <v>191</v>
      </c>
      <c r="B48" s="148"/>
      <c r="C48" s="60" t="s">
        <v>476</v>
      </c>
      <c r="D48" s="134"/>
      <c r="E48" s="480"/>
      <c r="F48" s="471"/>
      <c r="G48" s="474"/>
      <c r="H48" s="474"/>
      <c r="I48" s="468"/>
      <c r="J48" s="16"/>
      <c r="K48" s="16"/>
      <c r="L48" s="16"/>
      <c r="S48"/>
    </row>
    <row r="49" spans="1:19">
      <c r="A49" s="121"/>
      <c r="B49" s="148"/>
      <c r="C49" s="82"/>
      <c r="D49" s="134"/>
      <c r="E49" s="480"/>
      <c r="F49" s="471"/>
      <c r="G49" s="474"/>
      <c r="H49" s="474"/>
      <c r="I49" s="468"/>
      <c r="J49" s="16"/>
      <c r="K49" s="16"/>
      <c r="L49" s="16"/>
      <c r="S49"/>
    </row>
    <row r="50" spans="1:19">
      <c r="A50" s="121"/>
      <c r="B50" s="148"/>
      <c r="C50" s="223" t="s">
        <v>430</v>
      </c>
      <c r="D50" s="131"/>
      <c r="E50" s="480"/>
      <c r="F50" s="471"/>
      <c r="G50" s="474"/>
      <c r="H50" s="474"/>
      <c r="I50" s="468"/>
      <c r="J50" s="16"/>
      <c r="K50" s="16"/>
      <c r="L50" s="16"/>
      <c r="S50"/>
    </row>
    <row r="51" spans="1:19" ht="30" customHeight="1">
      <c r="A51" s="121"/>
      <c r="B51" s="148"/>
      <c r="C51" s="79" t="str">
        <f>IFERROR(VLOOKUP($E47,$S:$T,2,FALSE),"-")</f>
        <v>-</v>
      </c>
      <c r="D51" s="410"/>
      <c r="E51" s="481"/>
      <c r="F51" s="472"/>
      <c r="G51" s="475"/>
      <c r="H51" s="475"/>
      <c r="I51" s="468"/>
      <c r="J51" s="16"/>
      <c r="K51" s="16"/>
      <c r="L51" s="16"/>
      <c r="S51"/>
    </row>
    <row r="52" spans="1:19" ht="38.25">
      <c r="A52" s="379" t="s">
        <v>192</v>
      </c>
      <c r="B52" s="148"/>
      <c r="C52" s="60" t="s">
        <v>194</v>
      </c>
      <c r="D52" s="134"/>
      <c r="E52" s="480" t="str">
        <f>IF(H52=1,"1B",H52)</f>
        <v>Insert No. of Credit(s) Here</v>
      </c>
      <c r="F52" s="471" t="s">
        <v>60</v>
      </c>
      <c r="G52" s="474" t="s">
        <v>435</v>
      </c>
      <c r="H52" s="474" t="s">
        <v>435</v>
      </c>
      <c r="I52" s="468"/>
      <c r="J52" s="16"/>
      <c r="K52" s="16"/>
      <c r="L52" s="16"/>
      <c r="S52"/>
    </row>
    <row r="53" spans="1:19">
      <c r="A53" s="121"/>
      <c r="B53" s="148"/>
      <c r="C53" s="82"/>
      <c r="D53" s="134"/>
      <c r="E53" s="480"/>
      <c r="F53" s="471"/>
      <c r="G53" s="474"/>
      <c r="H53" s="474"/>
      <c r="I53" s="468"/>
      <c r="J53" s="16"/>
      <c r="K53" s="16"/>
      <c r="L53" s="16"/>
      <c r="S53"/>
    </row>
    <row r="54" spans="1:19">
      <c r="A54" s="121" t="s">
        <v>367</v>
      </c>
      <c r="B54" s="148"/>
      <c r="C54" s="224" t="s">
        <v>430</v>
      </c>
      <c r="D54" s="135"/>
      <c r="E54" s="480"/>
      <c r="F54" s="471"/>
      <c r="G54" s="474"/>
      <c r="H54" s="474"/>
      <c r="I54" s="468"/>
      <c r="J54" s="16"/>
      <c r="K54" s="16"/>
      <c r="L54" s="16"/>
      <c r="S54"/>
    </row>
    <row r="55" spans="1:19" ht="30" customHeight="1">
      <c r="A55" s="122"/>
      <c r="B55" s="146"/>
      <c r="C55" s="180" t="str">
        <f>IFERROR(VLOOKUP($E52,$S:$T,2,FALSE),"-")</f>
        <v>-</v>
      </c>
      <c r="D55" s="144"/>
      <c r="E55" s="481"/>
      <c r="F55" s="472"/>
      <c r="G55" s="475"/>
      <c r="H55" s="475"/>
      <c r="I55" s="469"/>
      <c r="J55" s="16"/>
      <c r="K55" s="16"/>
      <c r="L55" s="16"/>
      <c r="S55"/>
    </row>
    <row r="56" spans="1:19" ht="22.5" customHeight="1">
      <c r="A56" s="120" t="s">
        <v>20</v>
      </c>
      <c r="B56" s="141"/>
      <c r="C56" s="139" t="s">
        <v>195</v>
      </c>
      <c r="D56" s="140"/>
      <c r="E56" s="479" t="str">
        <f>IF(H56=1,"1B",H56)</f>
        <v>Insert No. of Credit(s) Here</v>
      </c>
      <c r="F56" s="470" t="s">
        <v>60</v>
      </c>
      <c r="G56" s="473" t="s">
        <v>435</v>
      </c>
      <c r="H56" s="473" t="s">
        <v>435</v>
      </c>
      <c r="I56" s="488"/>
      <c r="J56" s="16"/>
      <c r="K56" s="16"/>
      <c r="L56" s="16"/>
      <c r="S56"/>
    </row>
    <row r="57" spans="1:19" ht="102">
      <c r="A57" s="379" t="s">
        <v>192</v>
      </c>
      <c r="B57" s="148"/>
      <c r="C57" s="60" t="s">
        <v>477</v>
      </c>
      <c r="D57" s="134"/>
      <c r="E57" s="480"/>
      <c r="F57" s="471"/>
      <c r="G57" s="474"/>
      <c r="H57" s="474"/>
      <c r="I57" s="489"/>
      <c r="J57" s="16"/>
      <c r="K57" s="16"/>
      <c r="L57" s="16"/>
      <c r="S57"/>
    </row>
    <row r="58" spans="1:19">
      <c r="A58" s="121"/>
      <c r="B58" s="148"/>
      <c r="C58" s="82"/>
      <c r="D58" s="134"/>
      <c r="E58" s="480"/>
      <c r="F58" s="471"/>
      <c r="G58" s="474"/>
      <c r="H58" s="474"/>
      <c r="I58" s="489"/>
      <c r="J58" s="16"/>
      <c r="K58" s="16"/>
      <c r="L58" s="16"/>
      <c r="S58"/>
    </row>
    <row r="59" spans="1:19">
      <c r="A59" s="123"/>
      <c r="B59" s="149"/>
      <c r="C59" s="224" t="s">
        <v>430</v>
      </c>
      <c r="D59" s="135"/>
      <c r="E59" s="480"/>
      <c r="F59" s="471"/>
      <c r="G59" s="474"/>
      <c r="H59" s="474"/>
      <c r="I59" s="489"/>
      <c r="J59" s="16"/>
      <c r="K59" s="16"/>
      <c r="L59" s="16"/>
      <c r="S59"/>
    </row>
    <row r="60" spans="1:19" ht="30" customHeight="1">
      <c r="A60" s="122"/>
      <c r="B60" s="146"/>
      <c r="C60" s="180" t="str">
        <f>IFERROR(VLOOKUP($E56,$S:$T,2,FALSE),"-")</f>
        <v>-</v>
      </c>
      <c r="D60" s="144"/>
      <c r="E60" s="481"/>
      <c r="F60" s="472"/>
      <c r="G60" s="475"/>
      <c r="H60" s="475"/>
      <c r="I60" s="490"/>
      <c r="J60" s="16"/>
      <c r="K60" s="16"/>
      <c r="L60" s="16"/>
      <c r="S60"/>
    </row>
    <row r="61" spans="1:19" ht="22.5" customHeight="1">
      <c r="A61" s="120" t="s">
        <v>21</v>
      </c>
      <c r="B61" s="141"/>
      <c r="C61" s="139" t="s">
        <v>478</v>
      </c>
      <c r="D61" s="140"/>
      <c r="E61" s="479" t="str">
        <f>H61</f>
        <v>Insert No. of Credit(s) Here</v>
      </c>
      <c r="F61" s="470" t="str">
        <f>IF(H61="NA","NA",IF(OR(H61="NS",H61=0,H61=1),1,"-"))</f>
        <v>-</v>
      </c>
      <c r="G61" s="473" t="s">
        <v>435</v>
      </c>
      <c r="H61" s="473" t="s">
        <v>435</v>
      </c>
      <c r="I61" s="488"/>
      <c r="J61" s="16"/>
      <c r="K61" s="16"/>
      <c r="L61" s="16"/>
      <c r="S61"/>
    </row>
    <row r="62" spans="1:19" ht="25.5">
      <c r="A62" s="379" t="s">
        <v>182</v>
      </c>
      <c r="B62" s="148"/>
      <c r="C62" s="92" t="s">
        <v>36</v>
      </c>
      <c r="D62" s="130"/>
      <c r="E62" s="480"/>
      <c r="F62" s="471"/>
      <c r="G62" s="474"/>
      <c r="H62" s="474"/>
      <c r="I62" s="489"/>
      <c r="J62" s="16"/>
      <c r="K62" s="16"/>
      <c r="L62" s="16"/>
      <c r="S62"/>
    </row>
    <row r="63" spans="1:19">
      <c r="A63" s="121"/>
      <c r="B63" s="148"/>
      <c r="C63" s="62"/>
      <c r="D63" s="130"/>
      <c r="E63" s="480"/>
      <c r="F63" s="471"/>
      <c r="G63" s="474"/>
      <c r="H63" s="474"/>
      <c r="I63" s="489"/>
      <c r="J63" s="16"/>
      <c r="K63" s="16"/>
      <c r="L63" s="16"/>
      <c r="S63"/>
    </row>
    <row r="64" spans="1:19">
      <c r="A64" s="123"/>
      <c r="B64" s="149"/>
      <c r="C64" s="224" t="s">
        <v>430</v>
      </c>
      <c r="D64" s="135"/>
      <c r="E64" s="480"/>
      <c r="F64" s="471"/>
      <c r="G64" s="474"/>
      <c r="H64" s="474"/>
      <c r="I64" s="489"/>
      <c r="J64" s="16"/>
      <c r="K64" s="16"/>
      <c r="L64" s="16"/>
      <c r="S64"/>
    </row>
    <row r="65" spans="1:19" ht="30" customHeight="1">
      <c r="A65" s="122"/>
      <c r="B65" s="146"/>
      <c r="C65" s="180" t="str">
        <f>IFERROR(VLOOKUP($E61,$S:$T,2,FALSE),"-")</f>
        <v>-</v>
      </c>
      <c r="D65" s="144"/>
      <c r="E65" s="481"/>
      <c r="F65" s="472"/>
      <c r="G65" s="475"/>
      <c r="H65" s="475"/>
      <c r="I65" s="490"/>
      <c r="J65" s="16"/>
      <c r="K65" s="16"/>
      <c r="L65" s="16"/>
      <c r="S65"/>
    </row>
    <row r="66" spans="1:19" ht="22.5" customHeight="1">
      <c r="A66" s="120" t="s">
        <v>22</v>
      </c>
      <c r="B66" s="141"/>
      <c r="C66" s="139" t="s">
        <v>197</v>
      </c>
      <c r="D66" s="140"/>
      <c r="E66" s="479" t="str">
        <f>H66</f>
        <v>Insert No. of Credit(s) Here</v>
      </c>
      <c r="F66" s="470" t="str">
        <f>IF(H66="NA","NA",IF(OR(H66="NS",H66=0,H66=1),1,"-"))</f>
        <v>-</v>
      </c>
      <c r="G66" s="473" t="s">
        <v>435</v>
      </c>
      <c r="H66" s="473" t="s">
        <v>435</v>
      </c>
      <c r="I66" s="467"/>
      <c r="J66" s="16"/>
      <c r="K66" s="16"/>
      <c r="L66" s="16"/>
      <c r="S66"/>
    </row>
    <row r="67" spans="1:19" ht="22.5" customHeight="1">
      <c r="A67" s="124" t="s">
        <v>196</v>
      </c>
      <c r="B67" s="147"/>
      <c r="C67" s="86" t="s">
        <v>198</v>
      </c>
      <c r="D67" s="132"/>
      <c r="E67" s="480"/>
      <c r="F67" s="471"/>
      <c r="G67" s="474"/>
      <c r="H67" s="474"/>
      <c r="I67" s="468"/>
      <c r="J67" s="16"/>
      <c r="K67" s="16"/>
      <c r="L67" s="16"/>
      <c r="S67"/>
    </row>
    <row r="68" spans="1:19" ht="25.5">
      <c r="A68" s="379" t="s">
        <v>182</v>
      </c>
      <c r="B68" s="148"/>
      <c r="C68" s="60" t="s">
        <v>479</v>
      </c>
      <c r="D68" s="134"/>
      <c r="E68" s="480"/>
      <c r="F68" s="471"/>
      <c r="G68" s="474"/>
      <c r="H68" s="474"/>
      <c r="I68" s="468"/>
      <c r="J68" s="16"/>
      <c r="K68" s="16"/>
      <c r="L68" s="16"/>
      <c r="S68"/>
    </row>
    <row r="69" spans="1:19">
      <c r="A69" s="121"/>
      <c r="B69" s="148"/>
      <c r="C69" s="82"/>
      <c r="D69" s="134"/>
      <c r="E69" s="480"/>
      <c r="F69" s="471"/>
      <c r="G69" s="474"/>
      <c r="H69" s="474"/>
      <c r="I69" s="468"/>
      <c r="J69" s="16"/>
      <c r="K69" s="16"/>
      <c r="L69" s="16"/>
      <c r="S69"/>
    </row>
    <row r="70" spans="1:19">
      <c r="A70" s="123"/>
      <c r="B70" s="149"/>
      <c r="C70" s="224" t="s">
        <v>430</v>
      </c>
      <c r="D70" s="135"/>
      <c r="E70" s="480"/>
      <c r="F70" s="471"/>
      <c r="G70" s="474"/>
      <c r="H70" s="474"/>
      <c r="I70" s="468"/>
      <c r="J70" s="16"/>
      <c r="K70" s="16"/>
      <c r="L70" s="16"/>
      <c r="S70"/>
    </row>
    <row r="71" spans="1:19" ht="30" customHeight="1">
      <c r="A71" s="122"/>
      <c r="B71" s="146"/>
      <c r="C71" s="180" t="str">
        <f>IFERROR(VLOOKUP($E66,$S:$T,2,FALSE),"-")</f>
        <v>-</v>
      </c>
      <c r="D71" s="144"/>
      <c r="E71" s="481"/>
      <c r="F71" s="472"/>
      <c r="G71" s="475"/>
      <c r="H71" s="475"/>
      <c r="I71" s="468"/>
      <c r="J71" s="16"/>
      <c r="K71" s="16"/>
      <c r="L71" s="16"/>
      <c r="S71"/>
    </row>
    <row r="72" spans="1:19" ht="22.5" customHeight="1">
      <c r="A72" s="120" t="s">
        <v>199</v>
      </c>
      <c r="B72" s="141"/>
      <c r="C72" s="139" t="s">
        <v>200</v>
      </c>
      <c r="D72" s="140"/>
      <c r="E72" s="479" t="str">
        <f>H72</f>
        <v>Insert No. of Credit(s) Here</v>
      </c>
      <c r="F72" s="471" t="str">
        <f>IF(H72="NA","NA",IF(OR(H72="NS",H72=0,H72=1,H72=2),2,"-"))</f>
        <v>-</v>
      </c>
      <c r="G72" s="474" t="s">
        <v>435</v>
      </c>
      <c r="H72" s="474" t="s">
        <v>435</v>
      </c>
      <c r="I72" s="468"/>
      <c r="J72" s="16"/>
      <c r="K72" s="16"/>
      <c r="L72" s="16"/>
      <c r="S72"/>
    </row>
    <row r="73" spans="1:19" ht="51">
      <c r="A73" s="379" t="s">
        <v>178</v>
      </c>
      <c r="B73" s="148"/>
      <c r="C73" s="60" t="s">
        <v>421</v>
      </c>
      <c r="D73" s="134"/>
      <c r="E73" s="480"/>
      <c r="F73" s="471"/>
      <c r="G73" s="474"/>
      <c r="H73" s="474"/>
      <c r="I73" s="468"/>
      <c r="J73" s="16"/>
      <c r="K73" s="16"/>
      <c r="L73" s="16"/>
      <c r="S73"/>
    </row>
    <row r="74" spans="1:19">
      <c r="A74" s="123"/>
      <c r="B74" s="149"/>
      <c r="C74" s="82"/>
      <c r="D74" s="134"/>
      <c r="E74" s="480"/>
      <c r="F74" s="471"/>
      <c r="G74" s="474"/>
      <c r="H74" s="474"/>
      <c r="I74" s="468"/>
      <c r="J74" s="16"/>
      <c r="K74" s="16"/>
      <c r="L74" s="16"/>
      <c r="S74"/>
    </row>
    <row r="75" spans="1:19">
      <c r="A75" s="123"/>
      <c r="B75" s="149"/>
      <c r="C75" s="224" t="s">
        <v>430</v>
      </c>
      <c r="D75" s="135"/>
      <c r="E75" s="480"/>
      <c r="F75" s="471"/>
      <c r="G75" s="474"/>
      <c r="H75" s="474"/>
      <c r="I75" s="468"/>
      <c r="J75" s="16"/>
      <c r="K75" s="16"/>
      <c r="L75" s="16"/>
      <c r="S75"/>
    </row>
    <row r="76" spans="1:19" ht="30" customHeight="1">
      <c r="A76" s="122"/>
      <c r="B76" s="146"/>
      <c r="C76" s="180" t="str">
        <f>IFERROR(VLOOKUP($E72,$S:$T,2,FALSE),"-")</f>
        <v>-</v>
      </c>
      <c r="D76" s="144"/>
      <c r="E76" s="481"/>
      <c r="F76" s="472"/>
      <c r="G76" s="475"/>
      <c r="H76" s="475"/>
      <c r="I76" s="469"/>
      <c r="J76" s="16"/>
      <c r="K76" s="16"/>
      <c r="L76" s="16"/>
      <c r="S76"/>
    </row>
    <row r="77" spans="1:19" ht="22.5" customHeight="1">
      <c r="A77" s="120" t="s">
        <v>23</v>
      </c>
      <c r="B77" s="141"/>
      <c r="C77" s="139" t="s">
        <v>202</v>
      </c>
      <c r="D77" s="140"/>
      <c r="E77" s="479" t="str">
        <f>H77</f>
        <v>Insert No. of Credit(s) Here</v>
      </c>
      <c r="F77" s="470" t="str">
        <f>IF(H77="NA","NA",IF(OR(H77="NS",H77=0,H77=1),1,"-"))</f>
        <v>-</v>
      </c>
      <c r="G77" s="473" t="s">
        <v>435</v>
      </c>
      <c r="H77" s="473" t="s">
        <v>435</v>
      </c>
      <c r="I77" s="467"/>
      <c r="J77" s="16"/>
      <c r="K77" s="16"/>
      <c r="L77" s="16"/>
      <c r="S77"/>
    </row>
    <row r="78" spans="1:19" ht="22.5" customHeight="1">
      <c r="A78" s="124" t="s">
        <v>201</v>
      </c>
      <c r="B78" s="147"/>
      <c r="C78" s="59" t="s">
        <v>203</v>
      </c>
      <c r="D78" s="132"/>
      <c r="E78" s="480"/>
      <c r="F78" s="471"/>
      <c r="G78" s="474"/>
      <c r="H78" s="474"/>
      <c r="I78" s="468"/>
      <c r="J78" s="16"/>
      <c r="K78" s="16"/>
      <c r="L78" s="16"/>
      <c r="S78"/>
    </row>
    <row r="79" spans="1:19" ht="38.25">
      <c r="A79" s="379" t="s">
        <v>182</v>
      </c>
      <c r="B79" s="148"/>
      <c r="C79" s="60" t="s">
        <v>480</v>
      </c>
      <c r="D79" s="134"/>
      <c r="E79" s="480"/>
      <c r="F79" s="471"/>
      <c r="G79" s="474"/>
      <c r="H79" s="474"/>
      <c r="I79" s="468"/>
      <c r="J79" s="16"/>
      <c r="K79" s="16"/>
      <c r="L79" s="16"/>
      <c r="S79"/>
    </row>
    <row r="80" spans="1:19">
      <c r="A80" s="121"/>
      <c r="B80" s="148"/>
      <c r="C80" s="82"/>
      <c r="D80" s="134"/>
      <c r="E80" s="480"/>
      <c r="F80" s="471"/>
      <c r="G80" s="474"/>
      <c r="H80" s="474"/>
      <c r="I80" s="468"/>
      <c r="J80" s="16"/>
      <c r="K80" s="16"/>
      <c r="L80" s="16"/>
      <c r="S80"/>
    </row>
    <row r="81" spans="1:19">
      <c r="A81" s="121"/>
      <c r="B81" s="148"/>
      <c r="C81" s="224" t="s">
        <v>430</v>
      </c>
      <c r="D81" s="135"/>
      <c r="E81" s="480"/>
      <c r="F81" s="471"/>
      <c r="G81" s="474"/>
      <c r="H81" s="474"/>
      <c r="I81" s="468"/>
      <c r="J81" s="16"/>
      <c r="K81" s="16"/>
      <c r="L81" s="16"/>
      <c r="S81"/>
    </row>
    <row r="82" spans="1:19" ht="30" customHeight="1">
      <c r="A82" s="122"/>
      <c r="B82" s="146"/>
      <c r="C82" s="180" t="str">
        <f>IFERROR(VLOOKUP($E77,$S:$T,2,FALSE),"-")</f>
        <v>-</v>
      </c>
      <c r="D82" s="144"/>
      <c r="E82" s="481"/>
      <c r="F82" s="472"/>
      <c r="G82" s="475"/>
      <c r="H82" s="475"/>
      <c r="I82" s="468"/>
      <c r="J82" s="16"/>
      <c r="K82" s="16"/>
      <c r="L82" s="16"/>
      <c r="S82"/>
    </row>
    <row r="83" spans="1:19" ht="22.5" customHeight="1">
      <c r="A83" s="120" t="s">
        <v>204</v>
      </c>
      <c r="B83" s="141"/>
      <c r="C83" s="139" t="s">
        <v>205</v>
      </c>
      <c r="D83" s="140"/>
      <c r="E83" s="482" t="str">
        <f>IF(H83&lt;&gt;"Insert No. of Credit(s) Here",IF(AND(H83="NA",H85="NA"),"NA",IF(AND(H83="NS",H85="NS"),"NS",IF(AND(COUNTIF(H83:H87,"NA")=1,COUNTIF(H83:H87,"NS")=1),"NS",SUM(H83:H87)))),H83)</f>
        <v>Insert No. of Credit(s) Here</v>
      </c>
      <c r="F83" s="471" t="str">
        <f>IF(H83&lt;&gt;"Insert No. of Credit(s) Here",IF(COUNTIF(H83:H87,"NA")=2,"NA",IF(COUNTIF(H83:H87,"NA")=1,1,2)),"-")</f>
        <v>-</v>
      </c>
      <c r="G83" s="478" t="s">
        <v>435</v>
      </c>
      <c r="H83" s="478" t="s">
        <v>435</v>
      </c>
      <c r="I83" s="468"/>
      <c r="J83" s="16"/>
      <c r="K83" s="16"/>
      <c r="L83" s="16"/>
      <c r="S83"/>
    </row>
    <row r="84" spans="1:19" ht="63.75">
      <c r="A84" s="379" t="s">
        <v>178</v>
      </c>
      <c r="B84" s="148"/>
      <c r="C84" s="60" t="s">
        <v>481</v>
      </c>
      <c r="D84" s="134"/>
      <c r="E84" s="483"/>
      <c r="F84" s="471"/>
      <c r="G84" s="477"/>
      <c r="H84" s="477"/>
      <c r="I84" s="468"/>
      <c r="J84" s="16"/>
      <c r="K84" s="16"/>
      <c r="L84" s="16"/>
      <c r="S84"/>
    </row>
    <row r="85" spans="1:19" ht="12.75" customHeight="1">
      <c r="A85" s="123"/>
      <c r="B85" s="149"/>
      <c r="C85" s="82"/>
      <c r="D85" s="134"/>
      <c r="E85" s="483"/>
      <c r="F85" s="471"/>
      <c r="G85" s="476" t="s">
        <v>435</v>
      </c>
      <c r="H85" s="476" t="s">
        <v>435</v>
      </c>
      <c r="I85" s="468"/>
      <c r="J85" s="16"/>
      <c r="K85" s="16"/>
      <c r="L85" s="16"/>
      <c r="S85"/>
    </row>
    <row r="86" spans="1:19">
      <c r="A86" s="123"/>
      <c r="B86" s="149"/>
      <c r="C86" s="224" t="s">
        <v>430</v>
      </c>
      <c r="D86" s="135"/>
      <c r="E86" s="483"/>
      <c r="F86" s="471"/>
      <c r="G86" s="476"/>
      <c r="H86" s="476"/>
      <c r="I86" s="468"/>
      <c r="J86" s="16"/>
      <c r="K86" s="16"/>
      <c r="L86" s="16"/>
      <c r="S86"/>
    </row>
    <row r="87" spans="1:19" ht="30" customHeight="1">
      <c r="A87" s="122"/>
      <c r="B87" s="146"/>
      <c r="C87" s="180" t="str">
        <f>IFERROR(VLOOKUP($E83,$S:$T,2,FALSE),"-")</f>
        <v>-</v>
      </c>
      <c r="D87" s="144"/>
      <c r="E87" s="484"/>
      <c r="F87" s="472"/>
      <c r="G87" s="477"/>
      <c r="H87" s="477"/>
      <c r="I87" s="468"/>
      <c r="J87" s="16"/>
      <c r="K87" s="16"/>
      <c r="L87" s="16"/>
      <c r="S87"/>
    </row>
    <row r="88" spans="1:19" ht="22.5" customHeight="1">
      <c r="A88" s="120" t="s">
        <v>206</v>
      </c>
      <c r="B88" s="141"/>
      <c r="C88" s="139" t="s">
        <v>207</v>
      </c>
      <c r="D88" s="140"/>
      <c r="E88" s="482" t="str">
        <f>H88</f>
        <v>Insert No. of Credit(s) Here</v>
      </c>
      <c r="F88" s="491" t="str">
        <f>IF(H88="NA","NA",IF(OR(H88="NS",H88=0,H88=1),1,"-"))</f>
        <v>-</v>
      </c>
      <c r="G88" s="476" t="s">
        <v>435</v>
      </c>
      <c r="H88" s="476" t="s">
        <v>435</v>
      </c>
      <c r="I88" s="468"/>
      <c r="J88" s="16"/>
      <c r="K88" s="16"/>
      <c r="L88" s="16"/>
      <c r="S88"/>
    </row>
    <row r="89" spans="1:19" ht="51">
      <c r="A89" s="379" t="s">
        <v>182</v>
      </c>
      <c r="B89" s="148"/>
      <c r="C89" s="60" t="s">
        <v>482</v>
      </c>
      <c r="D89" s="134"/>
      <c r="E89" s="483"/>
      <c r="F89" s="491"/>
      <c r="G89" s="476"/>
      <c r="H89" s="476"/>
      <c r="I89" s="468"/>
      <c r="J89" s="16"/>
      <c r="K89" s="16"/>
      <c r="L89" s="16"/>
      <c r="S89"/>
    </row>
    <row r="90" spans="1:19">
      <c r="A90" s="121"/>
      <c r="B90" s="148"/>
      <c r="C90" s="82"/>
      <c r="D90" s="134"/>
      <c r="E90" s="483"/>
      <c r="F90" s="491"/>
      <c r="G90" s="476"/>
      <c r="H90" s="476"/>
      <c r="I90" s="468"/>
      <c r="J90" s="16"/>
      <c r="K90" s="16"/>
      <c r="L90" s="16"/>
      <c r="S90"/>
    </row>
    <row r="91" spans="1:19">
      <c r="A91" s="121"/>
      <c r="B91" s="148"/>
      <c r="C91" s="224" t="s">
        <v>430</v>
      </c>
      <c r="D91" s="135"/>
      <c r="E91" s="483"/>
      <c r="F91" s="491"/>
      <c r="G91" s="476"/>
      <c r="H91" s="476"/>
      <c r="I91" s="468"/>
      <c r="J91" s="16"/>
      <c r="K91" s="16"/>
      <c r="L91" s="16"/>
      <c r="S91"/>
    </row>
    <row r="92" spans="1:19" ht="30" customHeight="1">
      <c r="A92" s="122"/>
      <c r="B92" s="146"/>
      <c r="C92" s="180" t="str">
        <f>IFERROR(VLOOKUP($E88,$S:$T,2,FALSE),"-")</f>
        <v>-</v>
      </c>
      <c r="D92" s="144"/>
      <c r="E92" s="484"/>
      <c r="F92" s="492"/>
      <c r="G92" s="477"/>
      <c r="H92" s="477"/>
      <c r="I92" s="469"/>
      <c r="J92" s="16"/>
      <c r="K92" s="16"/>
      <c r="L92" s="16"/>
      <c r="S92"/>
    </row>
    <row r="93" spans="1:19" ht="22.5" customHeight="1">
      <c r="A93" s="120" t="s">
        <v>24</v>
      </c>
      <c r="B93" s="141"/>
      <c r="C93" s="139" t="s">
        <v>208</v>
      </c>
      <c r="D93" s="140"/>
      <c r="E93" s="482" t="str">
        <f>H93</f>
        <v>Insert No. of Credit(s) Here</v>
      </c>
      <c r="F93" s="491" t="str">
        <f>IF(H93="NA","NA",IF(OR(H93="NS",H93=0,H93=1),1,"-"))</f>
        <v>-</v>
      </c>
      <c r="G93" s="478" t="s">
        <v>435</v>
      </c>
      <c r="H93" s="478" t="s">
        <v>435</v>
      </c>
      <c r="I93" s="497" t="s">
        <v>25</v>
      </c>
      <c r="J93" s="16"/>
      <c r="K93" s="16"/>
      <c r="L93" s="16"/>
      <c r="S93"/>
    </row>
    <row r="94" spans="1:19" ht="25.5">
      <c r="A94" s="379" t="s">
        <v>182</v>
      </c>
      <c r="B94" s="148"/>
      <c r="C94" s="60" t="s">
        <v>37</v>
      </c>
      <c r="D94" s="134"/>
      <c r="E94" s="483"/>
      <c r="F94" s="491"/>
      <c r="G94" s="476"/>
      <c r="H94" s="476"/>
      <c r="I94" s="495"/>
      <c r="J94" s="16"/>
      <c r="K94" s="16"/>
      <c r="L94" s="16"/>
      <c r="S94"/>
    </row>
    <row r="95" spans="1:19">
      <c r="A95" s="121"/>
      <c r="B95" s="148"/>
      <c r="C95" s="82"/>
      <c r="D95" s="134"/>
      <c r="E95" s="483"/>
      <c r="F95" s="491"/>
      <c r="G95" s="476"/>
      <c r="H95" s="476"/>
      <c r="I95" s="495"/>
      <c r="J95" s="16"/>
      <c r="K95" s="16"/>
      <c r="L95" s="16"/>
      <c r="S95"/>
    </row>
    <row r="96" spans="1:19">
      <c r="A96" s="121"/>
      <c r="B96" s="148"/>
      <c r="C96" s="224" t="s">
        <v>430</v>
      </c>
      <c r="D96" s="135"/>
      <c r="E96" s="483"/>
      <c r="F96" s="491"/>
      <c r="G96" s="476"/>
      <c r="H96" s="476"/>
      <c r="I96" s="495"/>
      <c r="J96" s="16"/>
      <c r="K96" s="16"/>
      <c r="L96" s="16"/>
      <c r="S96"/>
    </row>
    <row r="97" spans="1:19" ht="30" customHeight="1">
      <c r="A97" s="122"/>
      <c r="B97" s="146"/>
      <c r="C97" s="180" t="str">
        <f>IFERROR(VLOOKUP($E93,$S:$T,2,FALSE),"-")</f>
        <v>-</v>
      </c>
      <c r="D97" s="144"/>
      <c r="E97" s="484"/>
      <c r="F97" s="492"/>
      <c r="G97" s="477"/>
      <c r="H97" s="477"/>
      <c r="I97" s="496"/>
      <c r="J97" s="16"/>
      <c r="K97" s="16"/>
      <c r="L97" s="16"/>
      <c r="S97"/>
    </row>
    <row r="98" spans="1:19" ht="22.5" customHeight="1">
      <c r="A98" s="120" t="s">
        <v>26</v>
      </c>
      <c r="B98" s="141"/>
      <c r="C98" s="139" t="s">
        <v>209</v>
      </c>
      <c r="D98" s="140"/>
      <c r="E98" s="482" t="str">
        <f>H98</f>
        <v>Insert No. of Credit(s) Here</v>
      </c>
      <c r="F98" s="491" t="str">
        <f>IF(H98="NA","NA",IF(OR(H98="NS",H98=0,H98=1),1,"-"))</f>
        <v>-</v>
      </c>
      <c r="G98" s="478" t="s">
        <v>435</v>
      </c>
      <c r="H98" s="478" t="s">
        <v>435</v>
      </c>
      <c r="I98" s="494"/>
      <c r="J98" s="16"/>
      <c r="K98" s="16"/>
      <c r="L98" s="16"/>
      <c r="S98"/>
    </row>
    <row r="99" spans="1:19" ht="25.5">
      <c r="A99" s="379" t="s">
        <v>182</v>
      </c>
      <c r="B99" s="148"/>
      <c r="C99" s="60" t="s">
        <v>483</v>
      </c>
      <c r="D99" s="134"/>
      <c r="E99" s="483"/>
      <c r="F99" s="491"/>
      <c r="G99" s="476"/>
      <c r="H99" s="476"/>
      <c r="I99" s="495"/>
      <c r="J99" s="16"/>
      <c r="K99" s="16"/>
      <c r="L99" s="16"/>
      <c r="S99"/>
    </row>
    <row r="100" spans="1:19">
      <c r="A100" s="121"/>
      <c r="B100" s="148"/>
      <c r="C100" s="82"/>
      <c r="D100" s="134"/>
      <c r="E100" s="483"/>
      <c r="F100" s="491"/>
      <c r="G100" s="476"/>
      <c r="H100" s="476"/>
      <c r="I100" s="495"/>
      <c r="J100" s="16"/>
      <c r="K100" s="16"/>
      <c r="L100" s="16"/>
      <c r="S100"/>
    </row>
    <row r="101" spans="1:19">
      <c r="A101" s="123"/>
      <c r="B101" s="149"/>
      <c r="C101" s="224" t="s">
        <v>430</v>
      </c>
      <c r="D101" s="135"/>
      <c r="E101" s="483"/>
      <c r="F101" s="491"/>
      <c r="G101" s="476"/>
      <c r="H101" s="476"/>
      <c r="I101" s="495"/>
      <c r="J101" s="16"/>
      <c r="K101" s="16"/>
      <c r="L101" s="16"/>
      <c r="S101"/>
    </row>
    <row r="102" spans="1:19" ht="30" customHeight="1">
      <c r="A102" s="122"/>
      <c r="B102" s="146"/>
      <c r="C102" s="180" t="str">
        <f>IFERROR(VLOOKUP($E98,$S:$T,2,FALSE),"-")</f>
        <v>-</v>
      </c>
      <c r="D102" s="144"/>
      <c r="E102" s="484"/>
      <c r="F102" s="492"/>
      <c r="G102" s="477"/>
      <c r="H102" s="477"/>
      <c r="I102" s="496"/>
      <c r="J102" s="16"/>
      <c r="K102" s="16"/>
      <c r="L102" s="16"/>
      <c r="S102"/>
    </row>
    <row r="103" spans="1:19" ht="22.5" customHeight="1">
      <c r="A103" s="115">
        <v>2.2999999999999998</v>
      </c>
      <c r="B103" s="150"/>
      <c r="C103" s="126" t="s">
        <v>27</v>
      </c>
      <c r="D103" s="127"/>
      <c r="E103" s="306"/>
      <c r="F103" s="220"/>
      <c r="G103" s="221"/>
      <c r="H103" s="221"/>
      <c r="I103" s="222"/>
      <c r="J103" s="16"/>
      <c r="K103" s="16"/>
      <c r="L103" s="16"/>
      <c r="S103"/>
    </row>
    <row r="104" spans="1:19" ht="22.5" customHeight="1">
      <c r="A104" s="120" t="s">
        <v>28</v>
      </c>
      <c r="B104" s="141"/>
      <c r="C104" s="139" t="s">
        <v>578</v>
      </c>
      <c r="D104" s="140"/>
      <c r="E104" s="482" t="str">
        <f>H104</f>
        <v>Insert No. of Credit(s) Here</v>
      </c>
      <c r="F104" s="493" t="str">
        <f>IF(H104="NA","NA",IF(OR(H104="NS",H104=0,H104=1),1,"-"))</f>
        <v>-</v>
      </c>
      <c r="G104" s="478" t="s">
        <v>435</v>
      </c>
      <c r="H104" s="478" t="s">
        <v>435</v>
      </c>
      <c r="I104" s="494"/>
      <c r="J104" s="16"/>
      <c r="K104" s="16"/>
      <c r="L104" s="16"/>
      <c r="S104"/>
    </row>
    <row r="105" spans="1:19" ht="63.75">
      <c r="A105" s="379" t="s">
        <v>182</v>
      </c>
      <c r="B105" s="148"/>
      <c r="C105" s="92" t="s">
        <v>484</v>
      </c>
      <c r="D105" s="136"/>
      <c r="E105" s="483"/>
      <c r="F105" s="491"/>
      <c r="G105" s="476"/>
      <c r="H105" s="476"/>
      <c r="I105" s="495"/>
      <c r="J105" s="16"/>
      <c r="K105" s="16"/>
      <c r="L105" s="16"/>
      <c r="S105"/>
    </row>
    <row r="106" spans="1:19">
      <c r="A106" s="121"/>
      <c r="B106" s="148"/>
      <c r="C106" s="63"/>
      <c r="D106" s="136"/>
      <c r="E106" s="483"/>
      <c r="F106" s="491"/>
      <c r="G106" s="476"/>
      <c r="H106" s="476"/>
      <c r="I106" s="495"/>
      <c r="J106" s="16"/>
      <c r="K106" s="16"/>
      <c r="L106" s="16"/>
      <c r="S106"/>
    </row>
    <row r="107" spans="1:19">
      <c r="A107" s="121"/>
      <c r="B107" s="148"/>
      <c r="C107" s="224" t="s">
        <v>430</v>
      </c>
      <c r="D107" s="135"/>
      <c r="E107" s="483"/>
      <c r="F107" s="491"/>
      <c r="G107" s="476"/>
      <c r="H107" s="476"/>
      <c r="I107" s="495"/>
      <c r="J107" s="16"/>
      <c r="K107" s="16"/>
      <c r="L107" s="16"/>
      <c r="S107"/>
    </row>
    <row r="108" spans="1:19" ht="30" customHeight="1">
      <c r="A108" s="122"/>
      <c r="B108" s="146"/>
      <c r="C108" s="180" t="str">
        <f>IFERROR(VLOOKUP($E104,$S:$T,2,FALSE),"-")</f>
        <v>-</v>
      </c>
      <c r="D108" s="144"/>
      <c r="E108" s="484"/>
      <c r="F108" s="492"/>
      <c r="G108" s="477"/>
      <c r="H108" s="477"/>
      <c r="I108" s="496"/>
      <c r="J108" s="16"/>
      <c r="K108" s="16"/>
      <c r="L108" s="16"/>
      <c r="S108"/>
    </row>
    <row r="109" spans="1:19" ht="22.5" customHeight="1">
      <c r="A109" s="120" t="s">
        <v>368</v>
      </c>
      <c r="B109" s="141"/>
      <c r="C109" s="139" t="s">
        <v>579</v>
      </c>
      <c r="D109" s="140"/>
      <c r="E109" s="482" t="str">
        <f>H109</f>
        <v>Insert No. of Credit(s) Here</v>
      </c>
      <c r="F109" s="493" t="str">
        <f>IF(H109="NA","NA",IF(OR(H109="NS",H109=0,H109=1),1,"-"))</f>
        <v>-</v>
      </c>
      <c r="G109" s="478" t="s">
        <v>435</v>
      </c>
      <c r="H109" s="478" t="s">
        <v>435</v>
      </c>
      <c r="I109" s="494"/>
      <c r="J109" s="16"/>
      <c r="K109" s="16"/>
      <c r="L109" s="16"/>
      <c r="S109"/>
    </row>
    <row r="110" spans="1:19" ht="25.5">
      <c r="A110" s="379" t="s">
        <v>182</v>
      </c>
      <c r="B110" s="148"/>
      <c r="C110" s="60" t="s">
        <v>38</v>
      </c>
      <c r="D110" s="134"/>
      <c r="E110" s="483"/>
      <c r="F110" s="491"/>
      <c r="G110" s="476"/>
      <c r="H110" s="476"/>
      <c r="I110" s="495"/>
      <c r="J110" s="16"/>
      <c r="K110" s="16"/>
      <c r="L110" s="16"/>
      <c r="S110"/>
    </row>
    <row r="111" spans="1:19">
      <c r="A111" s="121"/>
      <c r="B111" s="148"/>
      <c r="C111" s="82"/>
      <c r="D111" s="134"/>
      <c r="E111" s="483"/>
      <c r="F111" s="491"/>
      <c r="G111" s="476"/>
      <c r="H111" s="476"/>
      <c r="I111" s="495"/>
      <c r="J111" s="16"/>
      <c r="K111" s="16"/>
      <c r="L111" s="16"/>
      <c r="S111"/>
    </row>
    <row r="112" spans="1:19">
      <c r="A112" s="121"/>
      <c r="B112" s="148"/>
      <c r="C112" s="224" t="s">
        <v>430</v>
      </c>
      <c r="D112" s="135"/>
      <c r="E112" s="483"/>
      <c r="F112" s="491"/>
      <c r="G112" s="476"/>
      <c r="H112" s="476"/>
      <c r="I112" s="495"/>
      <c r="J112" s="16"/>
      <c r="K112" s="16"/>
      <c r="L112" s="16"/>
      <c r="S112"/>
    </row>
    <row r="113" spans="1:19" ht="30" customHeight="1">
      <c r="A113" s="122"/>
      <c r="B113" s="146"/>
      <c r="C113" s="180" t="str">
        <f>IFERROR(VLOOKUP($E109,$S:$T,2,FALSE),"-")</f>
        <v>-</v>
      </c>
      <c r="D113" s="144"/>
      <c r="E113" s="484"/>
      <c r="F113" s="492"/>
      <c r="G113" s="477"/>
      <c r="H113" s="477"/>
      <c r="I113" s="496"/>
      <c r="J113" s="16"/>
      <c r="K113" s="16"/>
      <c r="L113" s="16"/>
      <c r="S113"/>
    </row>
    <row r="114" spans="1:19" ht="22.5" customHeight="1">
      <c r="A114" s="120" t="s">
        <v>29</v>
      </c>
      <c r="B114" s="141"/>
      <c r="C114" s="139" t="s">
        <v>580</v>
      </c>
      <c r="D114" s="140"/>
      <c r="E114" s="482" t="str">
        <f>H114</f>
        <v>Insert No. of Credit(s) Here</v>
      </c>
      <c r="F114" s="493" t="str">
        <f>IF(H114="NA","NA",IF(OR(H114="NS",H114=0,H114=1),1,"-"))</f>
        <v>-</v>
      </c>
      <c r="G114" s="478" t="s">
        <v>435</v>
      </c>
      <c r="H114" s="478" t="s">
        <v>435</v>
      </c>
      <c r="I114" s="494"/>
      <c r="J114" s="16"/>
      <c r="K114" s="16"/>
      <c r="L114" s="16"/>
      <c r="S114"/>
    </row>
    <row r="115" spans="1:19" ht="25.5">
      <c r="A115" s="379" t="s">
        <v>182</v>
      </c>
      <c r="B115" s="148"/>
      <c r="C115" s="60" t="s">
        <v>40</v>
      </c>
      <c r="D115" s="134"/>
      <c r="E115" s="483"/>
      <c r="F115" s="491"/>
      <c r="G115" s="476"/>
      <c r="H115" s="476"/>
      <c r="I115" s="495"/>
      <c r="J115" s="16"/>
      <c r="K115" s="16"/>
      <c r="L115" s="16"/>
      <c r="S115"/>
    </row>
    <row r="116" spans="1:19">
      <c r="A116" s="121"/>
      <c r="B116" s="148"/>
      <c r="C116" s="82"/>
      <c r="D116" s="134"/>
      <c r="E116" s="483"/>
      <c r="F116" s="491"/>
      <c r="G116" s="476"/>
      <c r="H116" s="476"/>
      <c r="I116" s="495"/>
      <c r="J116" s="16"/>
      <c r="K116" s="16"/>
      <c r="L116" s="16"/>
      <c r="S116"/>
    </row>
    <row r="117" spans="1:19">
      <c r="A117" s="121"/>
      <c r="B117" s="148"/>
      <c r="C117" s="224" t="s">
        <v>430</v>
      </c>
      <c r="D117" s="135"/>
      <c r="E117" s="483"/>
      <c r="F117" s="491"/>
      <c r="G117" s="476"/>
      <c r="H117" s="476"/>
      <c r="I117" s="495"/>
      <c r="J117" s="16"/>
      <c r="K117" s="16"/>
      <c r="L117" s="16"/>
      <c r="S117"/>
    </row>
    <row r="118" spans="1:19" ht="30" customHeight="1">
      <c r="A118" s="122"/>
      <c r="B118" s="146"/>
      <c r="C118" s="180" t="str">
        <f>IFERROR(VLOOKUP($E114,$S:$T,2,FALSE),"-")</f>
        <v>-</v>
      </c>
      <c r="D118" s="144"/>
      <c r="E118" s="484"/>
      <c r="F118" s="492"/>
      <c r="G118" s="477"/>
      <c r="H118" s="477"/>
      <c r="I118" s="496"/>
      <c r="J118" s="16"/>
      <c r="K118" s="16"/>
      <c r="L118" s="16"/>
      <c r="S118"/>
    </row>
    <row r="119" spans="1:19" ht="22.5" customHeight="1">
      <c r="A119" s="120" t="s">
        <v>30</v>
      </c>
      <c r="B119" s="141"/>
      <c r="C119" s="139" t="s">
        <v>210</v>
      </c>
      <c r="D119" s="140"/>
      <c r="E119" s="479" t="str">
        <f>H119</f>
        <v>Insert No. of Credit(s) Here</v>
      </c>
      <c r="F119" s="493" t="str">
        <f>IF(H119="NA","NA",IF(OR(H119="NS",H119=0,H119=1),1,"-"))</f>
        <v>-</v>
      </c>
      <c r="G119" s="473" t="s">
        <v>435</v>
      </c>
      <c r="H119" s="473" t="s">
        <v>435</v>
      </c>
      <c r="I119" s="488"/>
      <c r="J119" s="16"/>
      <c r="K119" s="16"/>
      <c r="L119" s="16"/>
      <c r="S119"/>
    </row>
    <row r="120" spans="1:19" s="89" customFormat="1" ht="38.25">
      <c r="A120" s="379" t="s">
        <v>182</v>
      </c>
      <c r="B120" s="151"/>
      <c r="C120" s="60" t="s">
        <v>485</v>
      </c>
      <c r="D120" s="137"/>
      <c r="E120" s="480"/>
      <c r="F120" s="491"/>
      <c r="G120" s="474"/>
      <c r="H120" s="474"/>
      <c r="I120" s="489"/>
      <c r="J120" s="88"/>
      <c r="K120" s="88"/>
      <c r="L120" s="88"/>
    </row>
    <row r="121" spans="1:19">
      <c r="A121" s="121"/>
      <c r="B121" s="148"/>
      <c r="C121" s="82"/>
      <c r="D121" s="134"/>
      <c r="E121" s="480"/>
      <c r="F121" s="491"/>
      <c r="G121" s="474"/>
      <c r="H121" s="474"/>
      <c r="I121" s="489"/>
      <c r="J121" s="16"/>
      <c r="K121" s="16"/>
      <c r="L121" s="16"/>
      <c r="S121"/>
    </row>
    <row r="122" spans="1:19">
      <c r="A122" s="121"/>
      <c r="B122" s="148"/>
      <c r="C122" s="224" t="s">
        <v>430</v>
      </c>
      <c r="D122" s="135"/>
      <c r="E122" s="480"/>
      <c r="F122" s="491"/>
      <c r="G122" s="474"/>
      <c r="H122" s="474"/>
      <c r="I122" s="489"/>
      <c r="J122" s="16"/>
      <c r="K122" s="16"/>
      <c r="L122" s="16"/>
      <c r="S122"/>
    </row>
    <row r="123" spans="1:19" ht="30" customHeight="1">
      <c r="A123" s="122"/>
      <c r="B123" s="146"/>
      <c r="C123" s="180" t="str">
        <f>IFERROR(VLOOKUP($E119,$S:$T,2,FALSE),"-")</f>
        <v>-</v>
      </c>
      <c r="D123" s="144"/>
      <c r="E123" s="481"/>
      <c r="F123" s="492"/>
      <c r="G123" s="475"/>
      <c r="H123" s="475"/>
      <c r="I123" s="490"/>
      <c r="J123" s="16"/>
      <c r="K123" s="16"/>
      <c r="L123" s="16"/>
      <c r="S123"/>
    </row>
    <row r="124" spans="1:19" ht="22.5" customHeight="1">
      <c r="A124" s="120" t="s">
        <v>31</v>
      </c>
      <c r="B124" s="141"/>
      <c r="C124" s="139" t="s">
        <v>211</v>
      </c>
      <c r="D124" s="140"/>
      <c r="E124" s="479" t="str">
        <f>H124</f>
        <v>Insert No. of Credit(s) Here</v>
      </c>
      <c r="F124" s="493" t="str">
        <f>IF(H124="NA","NA",IF(OR(H124="NS",H124=0,H124=1),1,"-"))</f>
        <v>-</v>
      </c>
      <c r="G124" s="473" t="s">
        <v>435</v>
      </c>
      <c r="H124" s="473" t="s">
        <v>435</v>
      </c>
      <c r="I124" s="488"/>
      <c r="J124" s="16"/>
      <c r="K124" s="16"/>
      <c r="L124" s="16"/>
      <c r="S124"/>
    </row>
    <row r="125" spans="1:19" ht="38.25">
      <c r="A125" s="379" t="s">
        <v>182</v>
      </c>
      <c r="B125" s="148"/>
      <c r="C125" s="60" t="s">
        <v>212</v>
      </c>
      <c r="D125" s="134"/>
      <c r="E125" s="480"/>
      <c r="F125" s="491"/>
      <c r="G125" s="474"/>
      <c r="H125" s="474"/>
      <c r="I125" s="489"/>
      <c r="J125" s="16"/>
      <c r="K125" s="16"/>
      <c r="L125" s="16"/>
      <c r="S125"/>
    </row>
    <row r="126" spans="1:19">
      <c r="A126" s="121"/>
      <c r="B126" s="148"/>
      <c r="C126" s="82"/>
      <c r="D126" s="134"/>
      <c r="E126" s="480"/>
      <c r="F126" s="491"/>
      <c r="G126" s="474"/>
      <c r="H126" s="474"/>
      <c r="I126" s="489"/>
      <c r="J126" s="16"/>
      <c r="K126" s="16"/>
      <c r="L126" s="16"/>
      <c r="S126"/>
    </row>
    <row r="127" spans="1:19">
      <c r="A127" s="121"/>
      <c r="B127" s="148"/>
      <c r="C127" s="224" t="s">
        <v>430</v>
      </c>
      <c r="D127" s="135"/>
      <c r="E127" s="480"/>
      <c r="F127" s="491"/>
      <c r="G127" s="474"/>
      <c r="H127" s="474"/>
      <c r="I127" s="489"/>
      <c r="J127" s="16"/>
      <c r="K127" s="16"/>
      <c r="L127" s="16"/>
      <c r="S127"/>
    </row>
    <row r="128" spans="1:19" ht="30" customHeight="1">
      <c r="A128" s="122"/>
      <c r="B128" s="146"/>
      <c r="C128" s="180" t="str">
        <f>IFERROR(VLOOKUP($E124,$S:$T,2,FALSE),"-")</f>
        <v>-</v>
      </c>
      <c r="D128" s="144"/>
      <c r="E128" s="481"/>
      <c r="F128" s="492"/>
      <c r="G128" s="475"/>
      <c r="H128" s="475"/>
      <c r="I128" s="490"/>
      <c r="J128" s="16"/>
      <c r="K128" s="16"/>
      <c r="L128" s="16"/>
      <c r="S128"/>
    </row>
    <row r="129" spans="1:19" ht="22.5" customHeight="1">
      <c r="A129" s="460" t="s">
        <v>463</v>
      </c>
      <c r="B129" s="461"/>
      <c r="C129" s="461"/>
      <c r="D129" s="345"/>
      <c r="E129" s="217">
        <f>F129</f>
        <v>0</v>
      </c>
      <c r="F129" s="215">
        <f>SUM(F8:F128)</f>
        <v>0</v>
      </c>
      <c r="G129" s="215"/>
      <c r="H129" s="215"/>
      <c r="I129" s="489" t="s">
        <v>427</v>
      </c>
      <c r="J129" s="16"/>
      <c r="K129" s="16"/>
      <c r="L129" s="16"/>
      <c r="S129"/>
    </row>
    <row r="130" spans="1:19" ht="22.5" customHeight="1">
      <c r="A130" s="462" t="s">
        <v>464</v>
      </c>
      <c r="B130" s="463"/>
      <c r="C130" s="463"/>
      <c r="D130" s="138"/>
      <c r="E130" s="216">
        <f>H130</f>
        <v>0</v>
      </c>
      <c r="F130" s="216"/>
      <c r="G130" s="216">
        <f>SUM(G19:G51,G61:G128)</f>
        <v>0</v>
      </c>
      <c r="H130" s="216">
        <f>SUM(H19:H51,H61:H128)</f>
        <v>0</v>
      </c>
      <c r="I130" s="490"/>
      <c r="J130" s="16"/>
      <c r="K130" s="16"/>
      <c r="L130" s="16"/>
      <c r="S130"/>
    </row>
    <row r="131" spans="1:19">
      <c r="A131" s="16"/>
      <c r="B131" s="16"/>
      <c r="C131" s="16"/>
      <c r="D131" s="16"/>
      <c r="E131" s="16"/>
      <c r="F131" s="16"/>
      <c r="G131" s="16"/>
      <c r="H131" s="16"/>
      <c r="I131" s="90"/>
      <c r="J131" s="16"/>
      <c r="K131" s="16"/>
      <c r="L131" s="16"/>
      <c r="S131"/>
    </row>
    <row r="132" spans="1:19">
      <c r="A132" s="16"/>
      <c r="B132" s="16"/>
      <c r="C132" s="16"/>
      <c r="D132" s="16"/>
      <c r="E132" s="16"/>
      <c r="F132" s="16"/>
      <c r="G132" s="16"/>
      <c r="H132" s="16"/>
      <c r="I132" s="90"/>
      <c r="J132" s="16"/>
      <c r="K132" s="16"/>
      <c r="L132" s="16"/>
      <c r="S132"/>
    </row>
    <row r="133" spans="1:19">
      <c r="A133" s="16"/>
      <c r="B133" s="16"/>
      <c r="C133" s="16"/>
      <c r="D133" s="16"/>
      <c r="E133" s="16"/>
      <c r="F133" s="16"/>
      <c r="G133" s="16"/>
      <c r="H133" s="16"/>
      <c r="I133" s="90"/>
      <c r="J133" s="16"/>
      <c r="K133" s="16"/>
      <c r="L133" s="16"/>
      <c r="S133"/>
    </row>
    <row r="134" spans="1:19">
      <c r="A134" s="16"/>
      <c r="B134" s="16"/>
      <c r="C134" s="16"/>
      <c r="D134" s="16"/>
      <c r="E134" s="16"/>
      <c r="F134" s="16"/>
      <c r="G134" s="16"/>
      <c r="H134" s="16"/>
      <c r="I134" s="90"/>
      <c r="J134" s="16"/>
      <c r="K134" s="16"/>
      <c r="L134" s="16"/>
      <c r="S134"/>
    </row>
    <row r="135" spans="1:19">
      <c r="A135" s="16"/>
      <c r="B135" s="16"/>
      <c r="C135" s="16"/>
      <c r="D135" s="16"/>
      <c r="E135" s="16"/>
      <c r="F135" s="16"/>
      <c r="G135" s="16"/>
      <c r="H135" s="16"/>
      <c r="I135" s="90"/>
      <c r="J135" s="16"/>
      <c r="K135" s="16"/>
      <c r="L135" s="16"/>
      <c r="S135"/>
    </row>
    <row r="136" spans="1:19">
      <c r="A136" s="16"/>
      <c r="B136" s="16"/>
      <c r="C136" s="16"/>
      <c r="D136" s="16"/>
      <c r="E136" s="16"/>
      <c r="F136" s="16"/>
      <c r="G136" s="16"/>
      <c r="H136" s="16"/>
      <c r="I136" s="90"/>
      <c r="J136" s="16"/>
      <c r="K136" s="16"/>
      <c r="L136" s="16"/>
      <c r="S136"/>
    </row>
    <row r="137" spans="1:19">
      <c r="A137" s="16"/>
      <c r="B137" s="16"/>
      <c r="C137" s="16"/>
      <c r="D137" s="16"/>
      <c r="E137" s="16"/>
      <c r="F137" s="16"/>
      <c r="G137" s="16"/>
      <c r="H137" s="16"/>
      <c r="I137" s="90"/>
      <c r="J137" s="16"/>
      <c r="K137" s="16"/>
      <c r="L137" s="16"/>
      <c r="S137"/>
    </row>
    <row r="138" spans="1:19">
      <c r="A138" s="16"/>
      <c r="B138" s="16"/>
      <c r="C138" s="16"/>
      <c r="D138" s="16"/>
      <c r="E138" s="16"/>
      <c r="F138" s="16"/>
      <c r="G138" s="16"/>
      <c r="H138" s="16"/>
      <c r="I138" s="90"/>
      <c r="J138" s="16"/>
      <c r="K138" s="16"/>
      <c r="L138" s="16"/>
      <c r="S138"/>
    </row>
    <row r="139" spans="1:19">
      <c r="A139" s="16"/>
      <c r="B139" s="16"/>
      <c r="C139" s="16"/>
      <c r="D139" s="16"/>
      <c r="E139" s="16"/>
      <c r="F139" s="16"/>
      <c r="G139" s="16"/>
      <c r="H139" s="16"/>
      <c r="I139" s="90"/>
      <c r="J139" s="16"/>
      <c r="K139" s="16"/>
      <c r="L139" s="16"/>
      <c r="S139"/>
    </row>
    <row r="140" spans="1:19">
      <c r="A140" s="16"/>
      <c r="B140" s="16"/>
      <c r="C140" s="16"/>
      <c r="D140" s="16"/>
      <c r="E140" s="16"/>
      <c r="F140" s="16"/>
      <c r="G140" s="16"/>
      <c r="H140" s="16"/>
      <c r="I140" s="90"/>
      <c r="J140" s="16"/>
      <c r="K140" s="16"/>
      <c r="L140" s="16"/>
      <c r="S140"/>
    </row>
    <row r="141" spans="1:19">
      <c r="A141" s="16"/>
      <c r="B141" s="16"/>
      <c r="C141" s="16"/>
      <c r="D141" s="16"/>
      <c r="E141" s="16"/>
      <c r="F141" s="16"/>
      <c r="G141" s="16"/>
      <c r="H141" s="16"/>
      <c r="I141" s="90"/>
      <c r="J141" s="16"/>
      <c r="K141" s="16"/>
      <c r="L141" s="16"/>
      <c r="S141"/>
    </row>
    <row r="142" spans="1:19">
      <c r="A142" s="16"/>
      <c r="B142" s="16"/>
      <c r="C142" s="16"/>
      <c r="D142" s="16"/>
      <c r="E142" s="16"/>
      <c r="F142" s="16"/>
      <c r="G142" s="16"/>
      <c r="H142" s="16"/>
      <c r="I142" s="90"/>
      <c r="J142" s="16"/>
      <c r="K142" s="16"/>
      <c r="L142" s="16"/>
      <c r="S142"/>
    </row>
    <row r="143" spans="1:19">
      <c r="A143" s="16"/>
      <c r="B143" s="16"/>
      <c r="C143" s="16"/>
      <c r="D143" s="16"/>
      <c r="E143" s="16"/>
      <c r="F143" s="16"/>
      <c r="G143" s="16"/>
      <c r="H143" s="16"/>
      <c r="I143" s="90"/>
      <c r="J143" s="16"/>
      <c r="K143" s="16"/>
      <c r="L143" s="16"/>
      <c r="S143"/>
    </row>
    <row r="144" spans="1:19">
      <c r="A144" s="16"/>
      <c r="B144" s="16"/>
      <c r="C144" s="16"/>
      <c r="D144" s="16"/>
      <c r="E144" s="16"/>
      <c r="F144" s="16"/>
      <c r="G144" s="16"/>
      <c r="H144" s="16"/>
      <c r="I144" s="90"/>
      <c r="J144" s="16"/>
      <c r="K144" s="16"/>
      <c r="L144" s="16"/>
      <c r="S144"/>
    </row>
    <row r="145" spans="19:19">
      <c r="S145"/>
    </row>
    <row r="146" spans="19:19">
      <c r="S146"/>
    </row>
    <row r="147" spans="19:19">
      <c r="S147"/>
    </row>
    <row r="148" spans="19:19">
      <c r="S148"/>
    </row>
    <row r="149" spans="19:19">
      <c r="S149"/>
    </row>
    <row r="150" spans="19:19">
      <c r="S150"/>
    </row>
    <row r="151" spans="19:19">
      <c r="S151"/>
    </row>
    <row r="152" spans="19:19">
      <c r="S152"/>
    </row>
    <row r="153" spans="19:19">
      <c r="S153"/>
    </row>
    <row r="154" spans="19:19">
      <c r="S154"/>
    </row>
    <row r="155" spans="19:19">
      <c r="S155"/>
    </row>
    <row r="156" spans="19:19">
      <c r="S156"/>
    </row>
    <row r="157" spans="19:19">
      <c r="S157"/>
    </row>
    <row r="158" spans="19:19">
      <c r="S158"/>
    </row>
    <row r="159" spans="19:19">
      <c r="S159"/>
    </row>
    <row r="160" spans="19:19">
      <c r="S160"/>
    </row>
    <row r="161" spans="19:19">
      <c r="S161"/>
    </row>
    <row r="162" spans="19:19">
      <c r="S162"/>
    </row>
    <row r="163" spans="19:19">
      <c r="S163"/>
    </row>
    <row r="164" spans="19:19">
      <c r="S164"/>
    </row>
    <row r="165" spans="19:19">
      <c r="S165"/>
    </row>
    <row r="166" spans="19:19">
      <c r="S166"/>
    </row>
    <row r="167" spans="19:19">
      <c r="S167"/>
    </row>
    <row r="168" spans="19:19">
      <c r="S168"/>
    </row>
    <row r="169" spans="19:19">
      <c r="S169"/>
    </row>
    <row r="170" spans="19:19">
      <c r="S170"/>
    </row>
    <row r="171" spans="19:19">
      <c r="S171"/>
    </row>
    <row r="172" spans="19:19">
      <c r="S172"/>
    </row>
    <row r="173" spans="19:19">
      <c r="S173"/>
    </row>
    <row r="174" spans="19:19">
      <c r="S174"/>
    </row>
    <row r="175" spans="19:19">
      <c r="S175"/>
    </row>
    <row r="176" spans="19:19">
      <c r="S176"/>
    </row>
    <row r="177" spans="19:19">
      <c r="S177"/>
    </row>
    <row r="178" spans="19:19">
      <c r="S178"/>
    </row>
    <row r="179" spans="19:19">
      <c r="S179"/>
    </row>
    <row r="180" spans="19:19">
      <c r="S180"/>
    </row>
    <row r="181" spans="19:19">
      <c r="S181"/>
    </row>
    <row r="182" spans="19:19">
      <c r="S182"/>
    </row>
    <row r="183" spans="19:19">
      <c r="S183"/>
    </row>
    <row r="184" spans="19:19">
      <c r="S184"/>
    </row>
    <row r="185" spans="19:19">
      <c r="S185"/>
    </row>
    <row r="186" spans="19:19">
      <c r="S186"/>
    </row>
    <row r="187" spans="19:19">
      <c r="S187"/>
    </row>
    <row r="188" spans="19:19">
      <c r="S188"/>
    </row>
    <row r="189" spans="19:19">
      <c r="S189"/>
    </row>
    <row r="190" spans="19:19">
      <c r="S190"/>
    </row>
    <row r="191" spans="19:19">
      <c r="S191"/>
    </row>
    <row r="192" spans="19:19">
      <c r="S192"/>
    </row>
    <row r="193" spans="19:19">
      <c r="S193"/>
    </row>
    <row r="194" spans="19:19">
      <c r="S194"/>
    </row>
    <row r="195" spans="19:19">
      <c r="S195"/>
    </row>
    <row r="196" spans="19:19">
      <c r="S196"/>
    </row>
    <row r="197" spans="19:19">
      <c r="S197"/>
    </row>
    <row r="198" spans="19:19">
      <c r="S198"/>
    </row>
    <row r="199" spans="19:19">
      <c r="S199"/>
    </row>
    <row r="200" spans="19:19">
      <c r="S200"/>
    </row>
    <row r="201" spans="19:19">
      <c r="S201"/>
    </row>
    <row r="202" spans="19:19">
      <c r="S202"/>
    </row>
    <row r="203" spans="19:19">
      <c r="S203"/>
    </row>
    <row r="204" spans="19:19">
      <c r="S204"/>
    </row>
    <row r="205" spans="19:19">
      <c r="S205"/>
    </row>
    <row r="206" spans="19:19">
      <c r="S206"/>
    </row>
    <row r="207" spans="19:19">
      <c r="S207"/>
    </row>
    <row r="208" spans="19:19">
      <c r="S208"/>
    </row>
    <row r="209" spans="19:19">
      <c r="S209"/>
    </row>
    <row r="210" spans="19:19">
      <c r="S210"/>
    </row>
    <row r="211" spans="19:19">
      <c r="S211"/>
    </row>
    <row r="212" spans="19:19">
      <c r="S212"/>
    </row>
    <row r="213" spans="19:19">
      <c r="S213"/>
    </row>
    <row r="214" spans="19:19">
      <c r="S214"/>
    </row>
    <row r="215" spans="19:19">
      <c r="S215"/>
    </row>
    <row r="216" spans="19:19">
      <c r="S216"/>
    </row>
    <row r="217" spans="19:19">
      <c r="S217"/>
    </row>
    <row r="218" spans="19:19">
      <c r="S218"/>
    </row>
    <row r="219" spans="19:19">
      <c r="S219"/>
    </row>
    <row r="220" spans="19:19">
      <c r="S220"/>
    </row>
    <row r="221" spans="19:19">
      <c r="S221"/>
    </row>
    <row r="222" spans="19:19">
      <c r="S222"/>
    </row>
    <row r="223" spans="19:19">
      <c r="S223"/>
    </row>
    <row r="224" spans="19:19">
      <c r="S224"/>
    </row>
    <row r="225" spans="19:19">
      <c r="S225"/>
    </row>
    <row r="226" spans="19:19">
      <c r="S226"/>
    </row>
    <row r="227" spans="19:19">
      <c r="S227"/>
    </row>
    <row r="228" spans="19:19">
      <c r="S228"/>
    </row>
    <row r="229" spans="19:19">
      <c r="S229"/>
    </row>
    <row r="230" spans="19:19">
      <c r="S230"/>
    </row>
    <row r="231" spans="19:19">
      <c r="S231"/>
    </row>
    <row r="232" spans="19:19">
      <c r="S232"/>
    </row>
    <row r="233" spans="19:19">
      <c r="S233"/>
    </row>
    <row r="234" spans="19:19">
      <c r="S234"/>
    </row>
    <row r="235" spans="19:19">
      <c r="S235"/>
    </row>
    <row r="236" spans="19:19">
      <c r="S236"/>
    </row>
    <row r="237" spans="19:19">
      <c r="S237"/>
    </row>
    <row r="238" spans="19:19">
      <c r="S238"/>
    </row>
    <row r="239" spans="19:19">
      <c r="S239"/>
    </row>
    <row r="240" spans="19:19">
      <c r="S240"/>
    </row>
    <row r="241" spans="19:19">
      <c r="S241"/>
    </row>
    <row r="242" spans="19:19">
      <c r="S242"/>
    </row>
    <row r="243" spans="19:19">
      <c r="S243"/>
    </row>
    <row r="244" spans="19:19">
      <c r="S244"/>
    </row>
    <row r="245" spans="19:19">
      <c r="S245"/>
    </row>
    <row r="246" spans="19:19">
      <c r="S246"/>
    </row>
    <row r="247" spans="19:19">
      <c r="S247"/>
    </row>
    <row r="248" spans="19:19">
      <c r="S248"/>
    </row>
    <row r="249" spans="19:19">
      <c r="S249"/>
    </row>
    <row r="250" spans="19:19">
      <c r="S250"/>
    </row>
    <row r="251" spans="19:19">
      <c r="S251"/>
    </row>
    <row r="252" spans="19:19">
      <c r="S252"/>
    </row>
    <row r="253" spans="19:19">
      <c r="S253"/>
    </row>
    <row r="254" spans="19:19">
      <c r="S254"/>
    </row>
    <row r="255" spans="19:19">
      <c r="S255"/>
    </row>
    <row r="256" spans="19:19">
      <c r="S256"/>
    </row>
    <row r="257" spans="19:19">
      <c r="S257"/>
    </row>
    <row r="258" spans="19:19">
      <c r="S258"/>
    </row>
    <row r="259" spans="19:19">
      <c r="S259"/>
    </row>
    <row r="260" spans="19:19">
      <c r="S260"/>
    </row>
    <row r="261" spans="19:19">
      <c r="S261"/>
    </row>
    <row r="262" spans="19:19">
      <c r="S262"/>
    </row>
    <row r="263" spans="19:19">
      <c r="S263"/>
    </row>
    <row r="264" spans="19:19">
      <c r="S264"/>
    </row>
    <row r="265" spans="19:19">
      <c r="S265"/>
    </row>
    <row r="266" spans="19:19">
      <c r="S266"/>
    </row>
    <row r="267" spans="19:19">
      <c r="S267"/>
    </row>
    <row r="268" spans="19:19">
      <c r="S268"/>
    </row>
    <row r="269" spans="19:19">
      <c r="S269"/>
    </row>
    <row r="270" spans="19:19">
      <c r="S270"/>
    </row>
    <row r="271" spans="19:19">
      <c r="S271"/>
    </row>
    <row r="272" spans="19:19">
      <c r="S272"/>
    </row>
    <row r="273" spans="19:19">
      <c r="S273"/>
    </row>
    <row r="274" spans="19:19">
      <c r="S274"/>
    </row>
    <row r="275" spans="19:19">
      <c r="S275"/>
    </row>
    <row r="276" spans="19:19">
      <c r="S276"/>
    </row>
    <row r="277" spans="19:19">
      <c r="S277"/>
    </row>
    <row r="278" spans="19:19">
      <c r="S278"/>
    </row>
    <row r="279" spans="19:19">
      <c r="S279"/>
    </row>
    <row r="280" spans="19:19">
      <c r="S280"/>
    </row>
    <row r="281" spans="19:19">
      <c r="S281"/>
    </row>
    <row r="282" spans="19:19">
      <c r="S282"/>
    </row>
    <row r="283" spans="19:19">
      <c r="S283"/>
    </row>
    <row r="284" spans="19:19">
      <c r="S284"/>
    </row>
    <row r="285" spans="19:19">
      <c r="S285"/>
    </row>
    <row r="286" spans="19:19">
      <c r="S286"/>
    </row>
    <row r="287" spans="19:19">
      <c r="S287"/>
    </row>
    <row r="288" spans="19:19">
      <c r="S288"/>
    </row>
    <row r="289" spans="19:23">
      <c r="S289"/>
    </row>
    <row r="290" spans="19:23">
      <c r="S290"/>
    </row>
    <row r="291" spans="19:23">
      <c r="S291"/>
    </row>
    <row r="292" spans="19:23">
      <c r="S292"/>
    </row>
    <row r="293" spans="19:23">
      <c r="S293"/>
    </row>
    <row r="294" spans="19:23">
      <c r="S294"/>
    </row>
    <row r="295" spans="19:23">
      <c r="S295"/>
    </row>
    <row r="296" spans="19:23">
      <c r="S296"/>
    </row>
    <row r="297" spans="19:23">
      <c r="S297" t="s">
        <v>379</v>
      </c>
      <c r="T297" t="str">
        <f>"No information was submitted. Credit is not achieved in the "&amp; 'Project Summary'!C9 &amp; "."</f>
        <v>No information was submitted. Credit is not achieved in the Provisional Assessment.</v>
      </c>
      <c r="V297" s="84" t="s">
        <v>3</v>
      </c>
      <c r="W297" t="str">
        <f>"The prerequisite is achieved in the " &amp; 'Project Summary'!C9&amp; "."</f>
        <v>The prerequisite is achieved in the Provisional Assessment.</v>
      </c>
    </row>
    <row r="298" spans="19:23">
      <c r="S298" t="s">
        <v>4</v>
      </c>
      <c r="T298" t="str">
        <f>"Credit is not applicable in the "&amp; 'Project Summary'!C9 &amp; "."</f>
        <v>Credit is not applicable in the Provisional Assessment.</v>
      </c>
      <c r="V298" s="84" t="s">
        <v>4</v>
      </c>
      <c r="W298" t="str">
        <f>"The prerequisite is not applicable in the " &amp; 'Project Summary'!C9&amp; "."</f>
        <v>The prerequisite is not applicable in the Provisional Assessment.</v>
      </c>
    </row>
    <row r="299" spans="19:23">
      <c r="S299">
        <v>0</v>
      </c>
      <c r="T299" t="str">
        <f>"Credit is not achieved in the "&amp; 'Project Summary'!C9 &amp; "."</f>
        <v>Credit is not achieved in the Provisional Assessment.</v>
      </c>
      <c r="V299" s="84">
        <v>0</v>
      </c>
      <c r="W299" t="str">
        <f>"The prerequisite is not achieved in the " &amp; 'Project Summary'!C9&amp; "."</f>
        <v>The prerequisite is not achieved in the Provisional Assessment.</v>
      </c>
    </row>
    <row r="300" spans="19:23">
      <c r="S300">
        <v>1</v>
      </c>
      <c r="T300" t="str">
        <f>"1 credit is achieved in the "&amp; 'Project Summary'!C9 &amp; "."</f>
        <v>1 credit is achieved in the Provisional Assessment.</v>
      </c>
    </row>
    <row r="301" spans="19:23">
      <c r="S301">
        <v>2</v>
      </c>
      <c r="T301" t="str">
        <f>"2 credits are achieved in the "&amp; 'Project Summary'!C9 &amp; "."</f>
        <v>2 credits are achieved in the Provisional Assessment.</v>
      </c>
    </row>
    <row r="302" spans="19:23">
      <c r="S302"/>
    </row>
    <row r="303" spans="19:23">
      <c r="S303">
        <v>3</v>
      </c>
      <c r="T303" t="str">
        <f>"3 credits are achieved in the "&amp; 'Project Summary'!C9 &amp; "."</f>
        <v>3 credits are achieved in the Provisional Assessment.</v>
      </c>
    </row>
    <row r="304" spans="19:23">
      <c r="S304">
        <v>4</v>
      </c>
      <c r="T304" t="str">
        <f>"4 credits are achieved in the "&amp; 'Project Summary'!C9 &amp; "."</f>
        <v>4 credits are achieved in the Provisional Assessment.</v>
      </c>
    </row>
    <row r="305" spans="18:20">
      <c r="S305">
        <v>5</v>
      </c>
      <c r="T305" t="str">
        <f>"5 credits are achieved in the "&amp; 'Project Summary'!C9 &amp; "."</f>
        <v>5 credits are achieved in the Provisional Assessment.</v>
      </c>
    </row>
    <row r="306" spans="18:20">
      <c r="S306">
        <v>6</v>
      </c>
      <c r="T306" t="str">
        <f>"6 credits are achieved in the "&amp; 'Project Summary'!C9 &amp; "."</f>
        <v>6 credits are achieved in the Provisional Assessment.</v>
      </c>
    </row>
    <row r="307" spans="18:20">
      <c r="S307">
        <v>7</v>
      </c>
      <c r="T307" t="str">
        <f>"7 credits are achieved in the "&amp; 'Project Summary'!C9 &amp; "."</f>
        <v>7 credits are achieved in the Provisional Assessment.</v>
      </c>
    </row>
    <row r="308" spans="18:20">
      <c r="S308">
        <v>8</v>
      </c>
      <c r="T308" t="str">
        <f>"8 credits are achieved in the "&amp; 'Project Summary'!C9 &amp; "."</f>
        <v>8 credits are achieved in the Provisional Assessment.</v>
      </c>
    </row>
    <row r="309" spans="18:20">
      <c r="S309">
        <v>9</v>
      </c>
      <c r="T309" t="str">
        <f>"9 credits are achieved in the "&amp; 'Project Summary'!C9 &amp; "."</f>
        <v>9 credits are achieved in the Provisional Assessment.</v>
      </c>
    </row>
    <row r="310" spans="18:20">
      <c r="S310">
        <v>10</v>
      </c>
      <c r="T310" t="str">
        <f>"10 credits are achieved in the "&amp; 'Project Summary'!C9 &amp; "."</f>
        <v>10 credits are achieved in the Provisional Assessment.</v>
      </c>
    </row>
    <row r="311" spans="18:20">
      <c r="S311">
        <v>11</v>
      </c>
      <c r="T311" t="str">
        <f>"11 credits are achieved in the "&amp; 'Project Summary'!C9 &amp; "."</f>
        <v>11 credits are achieved in the Provisional Assessment.</v>
      </c>
    </row>
    <row r="312" spans="18:20">
      <c r="S312">
        <v>12</v>
      </c>
      <c r="T312" t="str">
        <f>"12 credits are achieved in the "&amp; 'Project Summary'!C9 &amp; "."</f>
        <v>12 credits are achieved in the Provisional Assessment.</v>
      </c>
    </row>
    <row r="313" spans="18:20">
      <c r="S313">
        <v>13</v>
      </c>
      <c r="T313" t="str">
        <f>"13 credits are achieved in the "&amp; 'Project Summary'!C9 &amp; "."</f>
        <v>13 credits are achieved in the Provisional Assessment.</v>
      </c>
    </row>
    <row r="314" spans="18:20">
      <c r="S314">
        <v>14</v>
      </c>
      <c r="T314" t="str">
        <f>"14 credits are achieved in the "&amp; 'Project Summary'!C9 &amp; "."</f>
        <v>14 credits are achieved in the Provisional Assessment.</v>
      </c>
    </row>
    <row r="315" spans="18:20">
      <c r="S315">
        <v>15</v>
      </c>
      <c r="T315" t="str">
        <f>"15 credits are achieved in the "&amp; 'Project Summary'!C9 &amp; "."</f>
        <v>15 credits are achieved in the Provisional Assessment.</v>
      </c>
    </row>
    <row r="316" spans="18:20">
      <c r="S316" t="s">
        <v>383</v>
      </c>
      <c r="T316" s="18" t="str">
        <f>"1 Bonus credit is achieved in the "&amp; 'Project Summary'!C9 &amp; "."</f>
        <v>1 Bonus credit is achieved in the Provisional Assessment.</v>
      </c>
    </row>
    <row r="317" spans="18:20">
      <c r="S317"/>
    </row>
    <row r="318" spans="18:20">
      <c r="S318"/>
    </row>
    <row r="319" spans="18:20">
      <c r="S319"/>
    </row>
    <row r="320" spans="18:20">
      <c r="R320" s="83" t="s">
        <v>420</v>
      </c>
    </row>
    <row r="321" spans="18:18">
      <c r="R321" s="84" t="s">
        <v>3</v>
      </c>
    </row>
    <row r="322" spans="18:18">
      <c r="R322" s="84" t="s">
        <v>4</v>
      </c>
    </row>
    <row r="323" spans="18:18">
      <c r="R323" s="84">
        <v>0</v>
      </c>
    </row>
    <row r="324" spans="18:18">
      <c r="R324" s="84"/>
    </row>
    <row r="325" spans="18:18">
      <c r="R325" s="84" t="s">
        <v>4</v>
      </c>
    </row>
    <row r="326" spans="18:18">
      <c r="R326" s="84" t="s">
        <v>379</v>
      </c>
    </row>
    <row r="327" spans="18:18">
      <c r="R327" s="84">
        <v>1</v>
      </c>
    </row>
    <row r="328" spans="18:18">
      <c r="R328" s="84">
        <v>0</v>
      </c>
    </row>
    <row r="329" spans="18:18">
      <c r="R329" s="84"/>
    </row>
    <row r="330" spans="18:18">
      <c r="R330" s="84" t="s">
        <v>4</v>
      </c>
    </row>
    <row r="331" spans="18:18">
      <c r="R331" s="84" t="s">
        <v>379</v>
      </c>
    </row>
    <row r="332" spans="18:18">
      <c r="R332" s="84">
        <v>2</v>
      </c>
    </row>
    <row r="333" spans="18:18">
      <c r="R333" s="84">
        <v>1</v>
      </c>
    </row>
    <row r="334" spans="18:18">
      <c r="R334" s="84">
        <v>0</v>
      </c>
    </row>
    <row r="335" spans="18:18">
      <c r="R335" s="84"/>
    </row>
    <row r="336" spans="18:18">
      <c r="R336" s="84" t="s">
        <v>4</v>
      </c>
    </row>
    <row r="337" spans="18:18">
      <c r="R337" s="84">
        <v>1</v>
      </c>
    </row>
    <row r="339" spans="18:18">
      <c r="R339" t="s">
        <v>4</v>
      </c>
    </row>
    <row r="340" spans="18:18">
      <c r="R340">
        <v>2</v>
      </c>
    </row>
  </sheetData>
  <sheetProtection formatCells="0" formatColumns="0" formatRows="0"/>
  <protectedRanges>
    <protectedRange sqref="D28 D17 D23 D34 D39 D44 D50 C54:D54 C64:D64 C86:D86 C91:D91 C112:D112 C122:D122 C59:D59 C70:D70 C75:D75 C81:D81 C96:D96 C101:D101 C107:D107 C117:D117 C127:D127" name="Range1"/>
  </protectedRanges>
  <mergeCells count="115">
    <mergeCell ref="G114:G118"/>
    <mergeCell ref="G119:G123"/>
    <mergeCell ref="G124:G128"/>
    <mergeCell ref="G88:G92"/>
    <mergeCell ref="G93:G97"/>
    <mergeCell ref="G98:G102"/>
    <mergeCell ref="G104:G108"/>
    <mergeCell ref="G109:G113"/>
    <mergeCell ref="G36:G40"/>
    <mergeCell ref="G41:G45"/>
    <mergeCell ref="G47:G51"/>
    <mergeCell ref="G52:G55"/>
    <mergeCell ref="G56:G60"/>
    <mergeCell ref="I8:I12"/>
    <mergeCell ref="I14:I18"/>
    <mergeCell ref="F88:F92"/>
    <mergeCell ref="I30:I45"/>
    <mergeCell ref="I129:I130"/>
    <mergeCell ref="I109:I113"/>
    <mergeCell ref="I114:I118"/>
    <mergeCell ref="I119:I123"/>
    <mergeCell ref="I124:I128"/>
    <mergeCell ref="I93:I97"/>
    <mergeCell ref="F47:F51"/>
    <mergeCell ref="I98:I102"/>
    <mergeCell ref="I104:I108"/>
    <mergeCell ref="H47:H51"/>
    <mergeCell ref="F98:F102"/>
    <mergeCell ref="F104:F108"/>
    <mergeCell ref="I56:I60"/>
    <mergeCell ref="I61:I65"/>
    <mergeCell ref="F93:F97"/>
    <mergeCell ref="F66:F71"/>
    <mergeCell ref="E124:E128"/>
    <mergeCell ref="E93:E97"/>
    <mergeCell ref="E98:E102"/>
    <mergeCell ref="E104:E108"/>
    <mergeCell ref="E109:E113"/>
    <mergeCell ref="F109:F113"/>
    <mergeCell ref="E119:E123"/>
    <mergeCell ref="F119:F123"/>
    <mergeCell ref="F124:F128"/>
    <mergeCell ref="F114:F118"/>
    <mergeCell ref="E72:E76"/>
    <mergeCell ref="E77:E82"/>
    <mergeCell ref="E114:E118"/>
    <mergeCell ref="E88:E92"/>
    <mergeCell ref="F83:F87"/>
    <mergeCell ref="F8:F12"/>
    <mergeCell ref="F14:F18"/>
    <mergeCell ref="F25:F29"/>
    <mergeCell ref="F30:F35"/>
    <mergeCell ref="F36:F40"/>
    <mergeCell ref="F41:F45"/>
    <mergeCell ref="E30:E35"/>
    <mergeCell ref="E36:E40"/>
    <mergeCell ref="E41:E45"/>
    <mergeCell ref="E52:E55"/>
    <mergeCell ref="E47:E51"/>
    <mergeCell ref="E56:E60"/>
    <mergeCell ref="H30:H35"/>
    <mergeCell ref="E8:E12"/>
    <mergeCell ref="E14:E18"/>
    <mergeCell ref="E19:E24"/>
    <mergeCell ref="E25:E29"/>
    <mergeCell ref="G8:G12"/>
    <mergeCell ref="G14:G18"/>
    <mergeCell ref="G19:G24"/>
    <mergeCell ref="G25:G29"/>
    <mergeCell ref="G30:G35"/>
    <mergeCell ref="A6:C6"/>
    <mergeCell ref="H8:H12"/>
    <mergeCell ref="H14:H18"/>
    <mergeCell ref="H19:H24"/>
    <mergeCell ref="H25:H29"/>
    <mergeCell ref="H72:H76"/>
    <mergeCell ref="H52:H55"/>
    <mergeCell ref="H85:H87"/>
    <mergeCell ref="E61:E65"/>
    <mergeCell ref="E66:E71"/>
    <mergeCell ref="F61:F65"/>
    <mergeCell ref="F56:F60"/>
    <mergeCell ref="E83:E87"/>
    <mergeCell ref="G61:G65"/>
    <mergeCell ref="G66:G71"/>
    <mergeCell ref="G72:G76"/>
    <mergeCell ref="G77:G82"/>
    <mergeCell ref="G83:G84"/>
    <mergeCell ref="G85:G87"/>
    <mergeCell ref="H36:H40"/>
    <mergeCell ref="H41:H45"/>
    <mergeCell ref="H56:H60"/>
    <mergeCell ref="H61:H65"/>
    <mergeCell ref="H66:H71"/>
    <mergeCell ref="H114:H118"/>
    <mergeCell ref="H109:H113"/>
    <mergeCell ref="H98:H102"/>
    <mergeCell ref="H104:H108"/>
    <mergeCell ref="H83:H84"/>
    <mergeCell ref="A129:C129"/>
    <mergeCell ref="A130:C130"/>
    <mergeCell ref="F7:I7"/>
    <mergeCell ref="I19:I29"/>
    <mergeCell ref="I47:I55"/>
    <mergeCell ref="I66:I76"/>
    <mergeCell ref="I77:I92"/>
    <mergeCell ref="F19:F24"/>
    <mergeCell ref="F72:F76"/>
    <mergeCell ref="F52:F55"/>
    <mergeCell ref="F77:F82"/>
    <mergeCell ref="H119:H123"/>
    <mergeCell ref="H124:H128"/>
    <mergeCell ref="H77:H82"/>
    <mergeCell ref="H88:H92"/>
    <mergeCell ref="H93:H97"/>
  </mergeCells>
  <phoneticPr fontId="31" type="noConversion"/>
  <dataValidations count="3">
    <dataValidation type="list" allowBlank="1" showInputMessage="1" showErrorMessage="1" sqref="G14:H18 G88:H102 G77:H82 G47:H71 G25:H45 G104:H128" xr:uid="{00000000-0002-0000-0100-000000000000}">
      <formula1>$R$325:$R$328</formula1>
    </dataValidation>
    <dataValidation type="list" allowBlank="1" showInputMessage="1" showErrorMessage="1" sqref="G19:H24 G72:H76" xr:uid="{00000000-0002-0000-0100-000001000000}">
      <formula1>$R$330:$R$334</formula1>
    </dataValidation>
    <dataValidation type="list" allowBlank="1" showInputMessage="1" showErrorMessage="1" sqref="G8:H12" xr:uid="{00000000-0002-0000-0100-000002000000}">
      <formula1>$R$321:$R$323</formula1>
    </dataValidation>
  </dataValidations>
  <pageMargins left="0.78740157480314965" right="0.55118110236220474" top="0.51181102362204722" bottom="0.74803149606299213" header="0.31496062992125984" footer="0.31496062992125984"/>
  <pageSetup paperSize="9" orientation="portrait" r:id="rId1"/>
  <headerFooter>
    <oddFooter>&amp;C&amp;7page &amp;P+11&amp;R&amp;6
ALL RIGHTS RESERVED © COPYRIGHT</oddFooter>
  </headerFooter>
  <rowBreaks count="4" manualBreakCount="4">
    <brk id="29" max="4" man="1"/>
    <brk id="55" max="4" man="1"/>
    <brk id="82" max="4" man="1"/>
    <brk id="108" max="4"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Z335"/>
  <sheetViews>
    <sheetView view="pageBreakPreview" zoomScale="130" zoomScaleNormal="85" zoomScaleSheetLayoutView="130" zoomScalePageLayoutView="85" workbookViewId="0">
      <selection activeCell="J1" sqref="J1"/>
    </sheetView>
  </sheetViews>
  <sheetFormatPr defaultColWidth="9" defaultRowHeight="12.75"/>
  <cols>
    <col min="1" max="1" width="8.7109375" customWidth="1"/>
    <col min="2" max="2" width="1.28515625" customWidth="1"/>
    <col min="3" max="3" width="62.7109375" customWidth="1"/>
    <col min="4" max="4" width="1.28515625" customWidth="1"/>
    <col min="5" max="5" width="12.7109375" customWidth="1"/>
    <col min="6" max="8" width="19.7109375" customWidth="1"/>
    <col min="9" max="9" width="33.28515625" style="91" customWidth="1"/>
    <col min="10" max="12" width="9" style="16"/>
    <col min="19" max="19" width="9" style="84" customWidth="1"/>
    <col min="20" max="20" width="72.5703125" customWidth="1"/>
    <col min="21" max="23" width="9" customWidth="1"/>
    <col min="26" max="26" width="0" hidden="1" customWidth="1"/>
  </cols>
  <sheetData>
    <row r="1" spans="1:26">
      <c r="A1" s="391"/>
      <c r="B1" s="391"/>
      <c r="C1" s="391"/>
      <c r="D1" s="391"/>
      <c r="E1" s="391"/>
      <c r="F1" s="16"/>
      <c r="G1" s="16"/>
      <c r="H1" s="16"/>
      <c r="I1" s="16"/>
      <c r="J1" s="253" t="s">
        <v>661</v>
      </c>
      <c r="S1"/>
      <c r="Z1">
        <v>11</v>
      </c>
    </row>
    <row r="2" spans="1:26">
      <c r="A2" s="391"/>
      <c r="B2" s="391"/>
      <c r="C2" s="391"/>
      <c r="D2" s="391"/>
      <c r="E2" s="392" t="str">
        <f>'Project Summary'!C6</f>
        <v>2123-123XX(x)</v>
      </c>
      <c r="F2" s="64"/>
      <c r="G2" s="64"/>
      <c r="H2" s="64"/>
      <c r="I2" s="64"/>
      <c r="S2"/>
      <c r="Z2">
        <v>16</v>
      </c>
    </row>
    <row r="3" spans="1:26">
      <c r="A3" s="391"/>
      <c r="B3" s="391"/>
      <c r="C3" s="391"/>
      <c r="D3" s="391"/>
      <c r="E3" s="392" t="str">
        <f>"BEAM Plus " &amp; 'Project Summary'!C9 &amp; " Report For"</f>
        <v>BEAM Plus Provisional Assessment Report For</v>
      </c>
      <c r="F3" s="64"/>
      <c r="G3" s="64"/>
      <c r="H3" s="64"/>
      <c r="I3" s="64"/>
      <c r="S3"/>
      <c r="Z3">
        <v>21</v>
      </c>
    </row>
    <row r="4" spans="1:26">
      <c r="A4" s="391" t="s">
        <v>333</v>
      </c>
      <c r="B4" s="391"/>
      <c r="C4" s="391"/>
      <c r="D4" s="391"/>
      <c r="E4" s="392" t="str">
        <f>'Project Summary'!C7</f>
        <v>ABC Residential Development</v>
      </c>
      <c r="F4" s="64"/>
      <c r="G4" s="64"/>
      <c r="H4" s="64"/>
      <c r="I4" s="64"/>
      <c r="S4"/>
      <c r="Z4">
        <v>26</v>
      </c>
    </row>
    <row r="5" spans="1:26">
      <c r="A5" s="174"/>
      <c r="B5" s="174"/>
      <c r="C5" s="174"/>
      <c r="D5" s="174"/>
      <c r="E5" s="175"/>
      <c r="F5" s="64"/>
      <c r="G5" s="64"/>
      <c r="H5" s="64"/>
      <c r="I5" s="64"/>
      <c r="S5"/>
      <c r="Z5">
        <v>32</v>
      </c>
    </row>
    <row r="6" spans="1:26" ht="22.5" customHeight="1">
      <c r="A6" s="485" t="s">
        <v>214</v>
      </c>
      <c r="B6" s="486"/>
      <c r="C6" s="486"/>
      <c r="D6" s="307"/>
      <c r="E6" s="114" t="s">
        <v>172</v>
      </c>
      <c r="F6" s="321" t="s">
        <v>56</v>
      </c>
      <c r="G6" s="113" t="s">
        <v>660</v>
      </c>
      <c r="H6" s="113" t="s">
        <v>57</v>
      </c>
      <c r="I6" s="114" t="s">
        <v>422</v>
      </c>
      <c r="S6"/>
      <c r="Z6">
        <v>36</v>
      </c>
    </row>
    <row r="7" spans="1:26" ht="22.5" customHeight="1">
      <c r="A7" s="167" t="s">
        <v>66</v>
      </c>
      <c r="B7" s="168"/>
      <c r="C7" s="128" t="s">
        <v>67</v>
      </c>
      <c r="D7" s="128"/>
      <c r="E7" s="308"/>
      <c r="F7" s="150"/>
      <c r="G7" s="126"/>
      <c r="H7" s="126"/>
      <c r="I7" s="127"/>
      <c r="S7"/>
      <c r="Z7">
        <v>41</v>
      </c>
    </row>
    <row r="8" spans="1:26" ht="22.5" customHeight="1">
      <c r="A8" s="159" t="s">
        <v>68</v>
      </c>
      <c r="B8" s="141"/>
      <c r="C8" s="161" t="s">
        <v>215</v>
      </c>
      <c r="D8" s="162"/>
      <c r="E8" s="500" t="str">
        <f>H8</f>
        <v>Insert No. of Credit(s) Here</v>
      </c>
      <c r="F8" s="505" t="s">
        <v>10</v>
      </c>
      <c r="G8" s="502" t="s">
        <v>435</v>
      </c>
      <c r="H8" s="502" t="s">
        <v>435</v>
      </c>
      <c r="I8" s="504"/>
      <c r="S8"/>
      <c r="Z8">
        <v>46</v>
      </c>
    </row>
    <row r="9" spans="1:26" ht="25.5">
      <c r="A9" s="152"/>
      <c r="B9" s="147"/>
      <c r="C9" s="60" t="s">
        <v>103</v>
      </c>
      <c r="D9" s="60"/>
      <c r="E9" s="500"/>
      <c r="F9" s="505"/>
      <c r="G9" s="502"/>
      <c r="H9" s="502"/>
      <c r="I9" s="504"/>
      <c r="S9"/>
      <c r="Z9">
        <v>52</v>
      </c>
    </row>
    <row r="10" spans="1:26">
      <c r="A10" s="152"/>
      <c r="B10" s="147"/>
      <c r="C10" s="60"/>
      <c r="D10" s="60"/>
      <c r="E10" s="500"/>
      <c r="F10" s="505"/>
      <c r="G10" s="502"/>
      <c r="H10" s="502"/>
      <c r="I10" s="504"/>
      <c r="S10"/>
      <c r="Z10">
        <v>57</v>
      </c>
    </row>
    <row r="11" spans="1:26">
      <c r="A11" s="152"/>
      <c r="B11" s="147"/>
      <c r="C11" s="224" t="s">
        <v>430</v>
      </c>
      <c r="D11" s="65"/>
      <c r="E11" s="500"/>
      <c r="F11" s="505"/>
      <c r="G11" s="502"/>
      <c r="H11" s="502"/>
      <c r="I11" s="504"/>
      <c r="S11"/>
      <c r="Z11">
        <v>62</v>
      </c>
    </row>
    <row r="12" spans="1:26" ht="30" customHeight="1">
      <c r="A12" s="163"/>
      <c r="B12" s="164"/>
      <c r="C12" s="180" t="str">
        <f>IFERROR(VLOOKUP($E8,$V:$W,2,FALSE),"-")</f>
        <v>-</v>
      </c>
      <c r="D12" s="144"/>
      <c r="E12" s="500"/>
      <c r="F12" s="505"/>
      <c r="G12" s="502"/>
      <c r="H12" s="502"/>
      <c r="I12" s="504"/>
      <c r="S12"/>
      <c r="Z12">
        <v>68</v>
      </c>
    </row>
    <row r="13" spans="1:26" ht="22.5" customHeight="1">
      <c r="A13" s="159" t="s">
        <v>69</v>
      </c>
      <c r="B13" s="141"/>
      <c r="C13" s="161" t="s">
        <v>216</v>
      </c>
      <c r="D13" s="161"/>
      <c r="E13" s="500" t="str">
        <f>H13</f>
        <v>Insert No. of Credit(s) Here</v>
      </c>
      <c r="F13" s="505" t="s">
        <v>10</v>
      </c>
      <c r="G13" s="502" t="s">
        <v>435</v>
      </c>
      <c r="H13" s="502" t="s">
        <v>435</v>
      </c>
      <c r="I13" s="504"/>
      <c r="S13"/>
      <c r="Z13">
        <v>73</v>
      </c>
    </row>
    <row r="14" spans="1:26" ht="25.5">
      <c r="A14" s="153"/>
      <c r="B14" s="147"/>
      <c r="C14" s="60" t="s">
        <v>486</v>
      </c>
      <c r="D14" s="60"/>
      <c r="E14" s="500"/>
      <c r="F14" s="505"/>
      <c r="G14" s="502"/>
      <c r="H14" s="502"/>
      <c r="I14" s="504"/>
      <c r="S14"/>
      <c r="Z14">
        <v>79</v>
      </c>
    </row>
    <row r="15" spans="1:26">
      <c r="A15" s="153"/>
      <c r="B15" s="147"/>
      <c r="C15" s="60"/>
      <c r="D15" s="60"/>
      <c r="E15" s="500"/>
      <c r="F15" s="505"/>
      <c r="G15" s="502"/>
      <c r="H15" s="502"/>
      <c r="I15" s="504"/>
      <c r="S15"/>
      <c r="Z15">
        <v>84</v>
      </c>
    </row>
    <row r="16" spans="1:26">
      <c r="A16" s="153"/>
      <c r="B16" s="147"/>
      <c r="C16" s="224" t="s">
        <v>430</v>
      </c>
      <c r="D16" s="65"/>
      <c r="E16" s="500"/>
      <c r="F16" s="505"/>
      <c r="G16" s="502"/>
      <c r="H16" s="502"/>
      <c r="I16" s="504"/>
      <c r="S16"/>
      <c r="Z16">
        <v>89</v>
      </c>
    </row>
    <row r="17" spans="1:26" ht="30" customHeight="1">
      <c r="A17" s="165"/>
      <c r="B17" s="164"/>
      <c r="C17" s="180" t="str">
        <f>IFERROR(VLOOKUP($E13,$V:$W,2,FALSE),"-")</f>
        <v>-</v>
      </c>
      <c r="D17" s="166"/>
      <c r="E17" s="500"/>
      <c r="F17" s="505"/>
      <c r="G17" s="502"/>
      <c r="H17" s="502"/>
      <c r="I17" s="504"/>
      <c r="S17"/>
      <c r="Z17">
        <v>95</v>
      </c>
    </row>
    <row r="18" spans="1:26" ht="22.5" customHeight="1">
      <c r="A18" s="141" t="s">
        <v>70</v>
      </c>
      <c r="B18" s="141"/>
      <c r="C18" s="161" t="s">
        <v>487</v>
      </c>
      <c r="D18" s="161"/>
      <c r="E18" s="500" t="str">
        <f>H18</f>
        <v>Insert No. of Credit(s) Here</v>
      </c>
      <c r="F18" s="505" t="s">
        <v>10</v>
      </c>
      <c r="G18" s="502" t="s">
        <v>435</v>
      </c>
      <c r="H18" s="502" t="s">
        <v>435</v>
      </c>
      <c r="I18" s="504" t="s">
        <v>426</v>
      </c>
      <c r="S18"/>
      <c r="Z18">
        <v>100</v>
      </c>
    </row>
    <row r="19" spans="1:26" ht="38.25">
      <c r="A19" s="147"/>
      <c r="B19" s="147"/>
      <c r="C19" s="60" t="s">
        <v>488</v>
      </c>
      <c r="D19" s="60"/>
      <c r="E19" s="500"/>
      <c r="F19" s="505"/>
      <c r="G19" s="502"/>
      <c r="H19" s="502"/>
      <c r="I19" s="504"/>
      <c r="S19"/>
      <c r="Z19">
        <v>105</v>
      </c>
    </row>
    <row r="20" spans="1:26">
      <c r="A20" s="147"/>
      <c r="B20" s="147"/>
      <c r="C20" s="60"/>
      <c r="D20" s="60"/>
      <c r="E20" s="500"/>
      <c r="F20" s="505"/>
      <c r="G20" s="502"/>
      <c r="H20" s="502"/>
      <c r="I20" s="504"/>
      <c r="S20"/>
      <c r="Z20">
        <v>111</v>
      </c>
    </row>
    <row r="21" spans="1:26">
      <c r="A21" s="147"/>
      <c r="B21" s="147"/>
      <c r="C21" s="224" t="s">
        <v>430</v>
      </c>
      <c r="D21" s="65"/>
      <c r="E21" s="500"/>
      <c r="F21" s="505"/>
      <c r="G21" s="502"/>
      <c r="H21" s="502"/>
      <c r="I21" s="504"/>
      <c r="S21"/>
      <c r="Z21">
        <v>116</v>
      </c>
    </row>
    <row r="22" spans="1:26" ht="30" customHeight="1">
      <c r="A22" s="164"/>
      <c r="B22" s="164"/>
      <c r="C22" s="180" t="str">
        <f>IFERROR(VLOOKUP($E18,$V:$W,2,FALSE),"-")</f>
        <v>-</v>
      </c>
      <c r="D22" s="166"/>
      <c r="E22" s="500"/>
      <c r="F22" s="505"/>
      <c r="G22" s="502"/>
      <c r="H22" s="502"/>
      <c r="I22" s="504"/>
      <c r="S22"/>
    </row>
    <row r="23" spans="1:26" ht="22.5" customHeight="1">
      <c r="A23" s="141" t="s">
        <v>71</v>
      </c>
      <c r="B23" s="141"/>
      <c r="C23" s="161" t="s">
        <v>217</v>
      </c>
      <c r="D23" s="161"/>
      <c r="E23" s="500" t="str">
        <f>H23</f>
        <v>Insert No. of Credit(s) Here</v>
      </c>
      <c r="F23" s="505" t="s">
        <v>10</v>
      </c>
      <c r="G23" s="502" t="s">
        <v>435</v>
      </c>
      <c r="H23" s="502" t="s">
        <v>435</v>
      </c>
      <c r="I23" s="504"/>
      <c r="S23"/>
    </row>
    <row r="24" spans="1:26" ht="25.5">
      <c r="A24" s="147"/>
      <c r="B24" s="147"/>
      <c r="C24" s="60" t="s">
        <v>104</v>
      </c>
      <c r="D24" s="60"/>
      <c r="E24" s="500"/>
      <c r="F24" s="505"/>
      <c r="G24" s="502"/>
      <c r="H24" s="502"/>
      <c r="I24" s="504"/>
      <c r="S24"/>
    </row>
    <row r="25" spans="1:26">
      <c r="A25" s="147"/>
      <c r="B25" s="147"/>
      <c r="C25" s="60"/>
      <c r="D25" s="60"/>
      <c r="E25" s="500"/>
      <c r="F25" s="505"/>
      <c r="G25" s="502"/>
      <c r="H25" s="502"/>
      <c r="I25" s="504"/>
      <c r="S25"/>
      <c r="T25" s="18"/>
    </row>
    <row r="26" spans="1:26">
      <c r="A26" s="147"/>
      <c r="B26" s="147"/>
      <c r="C26" s="224" t="s">
        <v>430</v>
      </c>
      <c r="D26" s="65"/>
      <c r="E26" s="500"/>
      <c r="F26" s="505"/>
      <c r="G26" s="502"/>
      <c r="H26" s="502"/>
      <c r="I26" s="504"/>
      <c r="S26"/>
    </row>
    <row r="27" spans="1:26" ht="30" customHeight="1">
      <c r="A27" s="164"/>
      <c r="B27" s="164"/>
      <c r="C27" s="180" t="str">
        <f>IFERROR(VLOOKUP($E23,$V:$W,2,FALSE),"-")</f>
        <v>-</v>
      </c>
      <c r="D27" s="166"/>
      <c r="E27" s="500"/>
      <c r="F27" s="505"/>
      <c r="G27" s="502"/>
      <c r="H27" s="502"/>
      <c r="I27" s="504"/>
      <c r="S27"/>
    </row>
    <row r="28" spans="1:26" ht="22.5" customHeight="1">
      <c r="A28" s="167">
        <v>3.1</v>
      </c>
      <c r="B28" s="168"/>
      <c r="C28" s="128" t="s">
        <v>62</v>
      </c>
      <c r="D28" s="169"/>
      <c r="E28" s="308"/>
      <c r="F28" s="150"/>
      <c r="G28" s="126"/>
      <c r="H28" s="126"/>
      <c r="I28" s="127"/>
      <c r="S28"/>
    </row>
    <row r="29" spans="1:26" ht="22.5" customHeight="1">
      <c r="A29" s="159" t="s">
        <v>72</v>
      </c>
      <c r="B29" s="160"/>
      <c r="C29" s="161" t="s">
        <v>218</v>
      </c>
      <c r="D29" s="161"/>
      <c r="E29" s="500" t="str">
        <f>H29</f>
        <v>Insert No. of Credit(s) Here</v>
      </c>
      <c r="F29" s="505" t="str">
        <f>IF(H29="NA","NA",IF(OR(H29="NS",H29=0,H29=1,H29=2),2,"-"))</f>
        <v>-</v>
      </c>
      <c r="G29" s="502" t="s">
        <v>435</v>
      </c>
      <c r="H29" s="502" t="s">
        <v>435</v>
      </c>
      <c r="I29" s="504" t="s">
        <v>73</v>
      </c>
      <c r="S29"/>
    </row>
    <row r="30" spans="1:26" ht="25.5">
      <c r="A30" s="380" t="s">
        <v>178</v>
      </c>
      <c r="B30" s="145"/>
      <c r="C30" s="60" t="s">
        <v>423</v>
      </c>
      <c r="D30" s="60"/>
      <c r="E30" s="500"/>
      <c r="F30" s="505"/>
      <c r="G30" s="502"/>
      <c r="H30" s="502"/>
      <c r="I30" s="504"/>
      <c r="S30"/>
    </row>
    <row r="31" spans="1:26">
      <c r="A31" s="155"/>
      <c r="B31" s="157"/>
      <c r="C31" s="60"/>
      <c r="D31" s="60"/>
      <c r="E31" s="500"/>
      <c r="F31" s="505"/>
      <c r="G31" s="502"/>
      <c r="H31" s="502"/>
      <c r="I31" s="504"/>
      <c r="S31"/>
    </row>
    <row r="32" spans="1:26">
      <c r="A32" s="155"/>
      <c r="B32" s="157"/>
      <c r="C32" s="224" t="s">
        <v>430</v>
      </c>
      <c r="D32" s="65"/>
      <c r="E32" s="500"/>
      <c r="F32" s="505"/>
      <c r="G32" s="502"/>
      <c r="H32" s="502"/>
      <c r="I32" s="504"/>
      <c r="S32"/>
    </row>
    <row r="33" spans="1:19" ht="30" customHeight="1">
      <c r="A33" s="154"/>
      <c r="B33" s="145"/>
      <c r="C33" s="79" t="str">
        <f>IFERROR(VLOOKUP($E29,$S:$T,2,FALSE),"-")</f>
        <v>-</v>
      </c>
      <c r="D33" s="79"/>
      <c r="E33" s="500"/>
      <c r="F33" s="505"/>
      <c r="G33" s="502"/>
      <c r="H33" s="502"/>
      <c r="I33" s="504"/>
      <c r="S33"/>
    </row>
    <row r="34" spans="1:19" ht="38.25">
      <c r="A34" s="381" t="s">
        <v>192</v>
      </c>
      <c r="B34" s="157"/>
      <c r="C34" s="60" t="s">
        <v>489</v>
      </c>
      <c r="D34" s="60"/>
      <c r="E34" s="481" t="str">
        <f>IF(H34=1,"1B",H34)</f>
        <v>Insert No. of Credit(s) Here</v>
      </c>
      <c r="F34" s="505" t="s">
        <v>60</v>
      </c>
      <c r="G34" s="502" t="s">
        <v>435</v>
      </c>
      <c r="H34" s="502" t="s">
        <v>435</v>
      </c>
      <c r="I34" s="504"/>
      <c r="S34"/>
    </row>
    <row r="35" spans="1:19">
      <c r="A35" s="155"/>
      <c r="B35" s="157"/>
      <c r="C35" s="60"/>
      <c r="D35" s="60"/>
      <c r="E35" s="500"/>
      <c r="F35" s="505"/>
      <c r="G35" s="502"/>
      <c r="H35" s="502"/>
      <c r="I35" s="504"/>
      <c r="S35"/>
    </row>
    <row r="36" spans="1:19">
      <c r="A36" s="155"/>
      <c r="B36" s="157"/>
      <c r="C36" s="224" t="s">
        <v>430</v>
      </c>
      <c r="D36" s="65"/>
      <c r="E36" s="500"/>
      <c r="F36" s="505"/>
      <c r="G36" s="502"/>
      <c r="H36" s="502"/>
      <c r="I36" s="504"/>
      <c r="S36"/>
    </row>
    <row r="37" spans="1:19" ht="30" customHeight="1">
      <c r="A37" s="170"/>
      <c r="B37" s="146"/>
      <c r="C37" s="386" t="str">
        <f>IFERROR(VLOOKUP($E34,$S:$T,2,FALSE),"-")</f>
        <v>-</v>
      </c>
      <c r="D37" s="166"/>
      <c r="E37" s="500"/>
      <c r="F37" s="505"/>
      <c r="G37" s="502"/>
      <c r="H37" s="502"/>
      <c r="I37" s="504"/>
      <c r="S37"/>
    </row>
    <row r="38" spans="1:19" ht="22.5" customHeight="1">
      <c r="A38" s="159" t="s">
        <v>74</v>
      </c>
      <c r="B38" s="141"/>
      <c r="C38" s="161" t="s">
        <v>219</v>
      </c>
      <c r="D38" s="161"/>
      <c r="E38" s="501" t="str">
        <f>H38</f>
        <v>Insert No. of Credit(s) Here</v>
      </c>
      <c r="F38" s="506" t="str">
        <f>IF(H38="NA","NA",IF(OR(H38="NS",H38=0,H38=1),1,"-"))</f>
        <v>-</v>
      </c>
      <c r="G38" s="503" t="s">
        <v>435</v>
      </c>
      <c r="H38" s="503" t="s">
        <v>435</v>
      </c>
      <c r="I38" s="507"/>
      <c r="S38"/>
    </row>
    <row r="39" spans="1:19" ht="25.5">
      <c r="A39" s="380" t="s">
        <v>182</v>
      </c>
      <c r="B39" s="148"/>
      <c r="C39" s="60" t="s">
        <v>490</v>
      </c>
      <c r="D39" s="60"/>
      <c r="E39" s="501"/>
      <c r="F39" s="506"/>
      <c r="G39" s="503"/>
      <c r="H39" s="503"/>
      <c r="I39" s="507"/>
      <c r="S39"/>
    </row>
    <row r="40" spans="1:19">
      <c r="A40" s="154"/>
      <c r="B40" s="148"/>
      <c r="C40" s="60"/>
      <c r="D40" s="60"/>
      <c r="E40" s="501"/>
      <c r="F40" s="506"/>
      <c r="G40" s="503"/>
      <c r="H40" s="503"/>
      <c r="I40" s="507"/>
      <c r="S40"/>
    </row>
    <row r="41" spans="1:19">
      <c r="A41" s="154"/>
      <c r="B41" s="148"/>
      <c r="C41" s="224" t="s">
        <v>430</v>
      </c>
      <c r="D41" s="65"/>
      <c r="E41" s="501"/>
      <c r="F41" s="506"/>
      <c r="G41" s="503"/>
      <c r="H41" s="503"/>
      <c r="I41" s="507"/>
      <c r="S41"/>
    </row>
    <row r="42" spans="1:19" ht="30" customHeight="1">
      <c r="A42" s="170"/>
      <c r="B42" s="146"/>
      <c r="C42" s="180" t="str">
        <f>IFERROR(VLOOKUP($E38,$S:$T,2,FALSE),"-")</f>
        <v>-</v>
      </c>
      <c r="D42" s="166"/>
      <c r="E42" s="501"/>
      <c r="F42" s="506"/>
      <c r="G42" s="503"/>
      <c r="H42" s="503"/>
      <c r="I42" s="507"/>
      <c r="S42"/>
    </row>
    <row r="43" spans="1:19" ht="22.5" customHeight="1">
      <c r="A43" s="159" t="s">
        <v>75</v>
      </c>
      <c r="B43" s="141"/>
      <c r="C43" s="161" t="s">
        <v>220</v>
      </c>
      <c r="D43" s="161"/>
      <c r="E43" s="501" t="str">
        <f>H43</f>
        <v>Insert No. of Credit(s) Here</v>
      </c>
      <c r="F43" s="506" t="str">
        <f>IF(H43="NA","NA",IF(OR(H43="NS",H43=0,H43=1,H43=2),2,"-"))</f>
        <v>-</v>
      </c>
      <c r="G43" s="502" t="s">
        <v>435</v>
      </c>
      <c r="H43" s="502" t="s">
        <v>435</v>
      </c>
      <c r="I43" s="507"/>
      <c r="S43"/>
    </row>
    <row r="44" spans="1:19" ht="51">
      <c r="A44" s="380" t="s">
        <v>178</v>
      </c>
      <c r="B44" s="148"/>
      <c r="C44" s="60" t="s">
        <v>424</v>
      </c>
      <c r="D44" s="60"/>
      <c r="E44" s="501"/>
      <c r="F44" s="506"/>
      <c r="G44" s="502"/>
      <c r="H44" s="502"/>
      <c r="I44" s="507"/>
      <c r="S44"/>
    </row>
    <row r="45" spans="1:19">
      <c r="A45" s="156"/>
      <c r="B45" s="149"/>
      <c r="C45" s="60"/>
      <c r="D45" s="60"/>
      <c r="E45" s="501"/>
      <c r="F45" s="506"/>
      <c r="G45" s="502"/>
      <c r="H45" s="502"/>
      <c r="I45" s="507"/>
      <c r="S45"/>
    </row>
    <row r="46" spans="1:19">
      <c r="A46" s="156"/>
      <c r="B46" s="149"/>
      <c r="C46" s="224" t="s">
        <v>430</v>
      </c>
      <c r="D46" s="65"/>
      <c r="E46" s="501"/>
      <c r="F46" s="506"/>
      <c r="G46" s="502"/>
      <c r="H46" s="502"/>
      <c r="I46" s="507"/>
      <c r="S46"/>
    </row>
    <row r="47" spans="1:19" ht="30" customHeight="1">
      <c r="A47" s="170"/>
      <c r="B47" s="146"/>
      <c r="C47" s="180" t="str">
        <f>IFERROR(VLOOKUP($E43,$S:$T,2,FALSE),"-")</f>
        <v>-</v>
      </c>
      <c r="D47" s="166"/>
      <c r="E47" s="501"/>
      <c r="F47" s="506"/>
      <c r="G47" s="502"/>
      <c r="H47" s="502"/>
      <c r="I47" s="507"/>
      <c r="S47"/>
    </row>
    <row r="48" spans="1:19" ht="22.5" customHeight="1">
      <c r="A48" s="159" t="s">
        <v>76</v>
      </c>
      <c r="B48" s="141"/>
      <c r="C48" s="346" t="s">
        <v>581</v>
      </c>
      <c r="D48" s="161"/>
      <c r="E48" s="501" t="str">
        <f>H48</f>
        <v>Insert No. of Credit(s) Here</v>
      </c>
      <c r="F48" s="506" t="str">
        <f>IF(H48="NA","NA",IF(OR(H48="NS",H48=0,H48=1),1,"-"))</f>
        <v>-</v>
      </c>
      <c r="G48" s="503" t="s">
        <v>435</v>
      </c>
      <c r="H48" s="503" t="s">
        <v>435</v>
      </c>
      <c r="I48" s="501"/>
      <c r="S48"/>
    </row>
    <row r="49" spans="1:19" ht="22.5" customHeight="1">
      <c r="A49" s="153" t="s">
        <v>221</v>
      </c>
      <c r="B49" s="147"/>
      <c r="C49" s="86" t="s">
        <v>222</v>
      </c>
      <c r="D49" s="86"/>
      <c r="E49" s="501"/>
      <c r="F49" s="506"/>
      <c r="G49" s="503"/>
      <c r="H49" s="503"/>
      <c r="I49" s="501"/>
      <c r="S49"/>
    </row>
    <row r="50" spans="1:19" ht="38.25">
      <c r="A50" s="380" t="s">
        <v>182</v>
      </c>
      <c r="B50" s="148"/>
      <c r="C50" s="60" t="s">
        <v>223</v>
      </c>
      <c r="D50" s="60"/>
      <c r="E50" s="501"/>
      <c r="F50" s="506"/>
      <c r="G50" s="503"/>
      <c r="H50" s="503"/>
      <c r="I50" s="501"/>
      <c r="S50"/>
    </row>
    <row r="51" spans="1:19">
      <c r="A51" s="154"/>
      <c r="B51" s="148"/>
      <c r="C51" s="60"/>
      <c r="D51" s="60"/>
      <c r="E51" s="501"/>
      <c r="F51" s="506"/>
      <c r="G51" s="503"/>
      <c r="H51" s="503"/>
      <c r="I51" s="501"/>
      <c r="S51"/>
    </row>
    <row r="52" spans="1:19">
      <c r="A52" s="154"/>
      <c r="B52" s="148"/>
      <c r="C52" s="224" t="s">
        <v>430</v>
      </c>
      <c r="D52" s="65"/>
      <c r="E52" s="501"/>
      <c r="F52" s="506"/>
      <c r="G52" s="503"/>
      <c r="H52" s="503"/>
      <c r="I52" s="501"/>
      <c r="S52"/>
    </row>
    <row r="53" spans="1:19" ht="30" customHeight="1">
      <c r="A53" s="170"/>
      <c r="B53" s="146"/>
      <c r="C53" s="180" t="str">
        <f>IFERROR(VLOOKUP($E48,$S:$T,2,FALSE),"-")</f>
        <v>-</v>
      </c>
      <c r="D53" s="166"/>
      <c r="E53" s="501"/>
      <c r="F53" s="506"/>
      <c r="G53" s="503"/>
      <c r="H53" s="503"/>
      <c r="I53" s="501"/>
      <c r="S53"/>
    </row>
    <row r="54" spans="1:19" ht="22.5" customHeight="1">
      <c r="A54" s="159" t="s">
        <v>224</v>
      </c>
      <c r="B54" s="141"/>
      <c r="C54" s="161" t="s">
        <v>225</v>
      </c>
      <c r="D54" s="161"/>
      <c r="E54" s="501" t="str">
        <f>H54</f>
        <v>Insert No. of Credit(s) Here</v>
      </c>
      <c r="F54" s="506" t="str">
        <f>IF(H54="NA","NA",IF(OR(H54="NS",H54=0,H54=1),1,"-"))</f>
        <v>-</v>
      </c>
      <c r="G54" s="503" t="s">
        <v>435</v>
      </c>
      <c r="H54" s="503" t="s">
        <v>435</v>
      </c>
      <c r="I54" s="501"/>
      <c r="S54"/>
    </row>
    <row r="55" spans="1:19" ht="25.5">
      <c r="A55" s="380" t="s">
        <v>182</v>
      </c>
      <c r="B55" s="148"/>
      <c r="C55" s="60" t="s">
        <v>226</v>
      </c>
      <c r="D55" s="60"/>
      <c r="E55" s="501"/>
      <c r="F55" s="506"/>
      <c r="G55" s="503"/>
      <c r="H55" s="503"/>
      <c r="I55" s="501"/>
      <c r="S55"/>
    </row>
    <row r="56" spans="1:19">
      <c r="A56" s="154"/>
      <c r="B56" s="148"/>
      <c r="C56" s="60"/>
      <c r="D56" s="60"/>
      <c r="E56" s="501"/>
      <c r="F56" s="506"/>
      <c r="G56" s="503"/>
      <c r="H56" s="503"/>
      <c r="I56" s="501"/>
      <c r="S56"/>
    </row>
    <row r="57" spans="1:19">
      <c r="A57" s="154"/>
      <c r="B57" s="148"/>
      <c r="C57" s="224" t="s">
        <v>430</v>
      </c>
      <c r="D57" s="65"/>
      <c r="E57" s="501"/>
      <c r="F57" s="506"/>
      <c r="G57" s="503"/>
      <c r="H57" s="503"/>
      <c r="I57" s="501"/>
      <c r="S57"/>
    </row>
    <row r="58" spans="1:19" ht="30" customHeight="1">
      <c r="A58" s="170"/>
      <c r="B58" s="146"/>
      <c r="C58" s="180" t="str">
        <f>IFERROR(VLOOKUP($E54,$S:$T,2,FALSE),"-")</f>
        <v>-</v>
      </c>
      <c r="D58" s="166"/>
      <c r="E58" s="501"/>
      <c r="F58" s="506"/>
      <c r="G58" s="503"/>
      <c r="H58" s="503"/>
      <c r="I58" s="501"/>
      <c r="S58"/>
    </row>
    <row r="59" spans="1:19" ht="22.5" customHeight="1">
      <c r="A59" s="159" t="s">
        <v>227</v>
      </c>
      <c r="B59" s="141"/>
      <c r="C59" s="161" t="s">
        <v>228</v>
      </c>
      <c r="D59" s="161"/>
      <c r="E59" s="501" t="str">
        <f>H59</f>
        <v>Insert No. of Credit(s) Here</v>
      </c>
      <c r="F59" s="506" t="str">
        <f>IF(H59="NA","NA",IF(OR(H59="NS",H59=0,H59=1),1,"-"))</f>
        <v>-</v>
      </c>
      <c r="G59" s="503" t="s">
        <v>435</v>
      </c>
      <c r="H59" s="503" t="s">
        <v>435</v>
      </c>
      <c r="I59" s="501"/>
      <c r="S59"/>
    </row>
    <row r="60" spans="1:19" ht="38.25">
      <c r="A60" s="380" t="s">
        <v>182</v>
      </c>
      <c r="B60" s="148"/>
      <c r="C60" s="60" t="s">
        <v>491</v>
      </c>
      <c r="D60" s="60"/>
      <c r="E60" s="501"/>
      <c r="F60" s="508"/>
      <c r="G60" s="503"/>
      <c r="H60" s="503"/>
      <c r="I60" s="501"/>
      <c r="S60"/>
    </row>
    <row r="61" spans="1:19">
      <c r="A61" s="154"/>
      <c r="B61" s="148"/>
      <c r="C61" s="60"/>
      <c r="D61" s="60"/>
      <c r="E61" s="501"/>
      <c r="F61" s="508"/>
      <c r="G61" s="503"/>
      <c r="H61" s="503"/>
      <c r="I61" s="501"/>
      <c r="S61"/>
    </row>
    <row r="62" spans="1:19">
      <c r="A62" s="154"/>
      <c r="B62" s="148"/>
      <c r="C62" s="224" t="s">
        <v>430</v>
      </c>
      <c r="D62" s="65"/>
      <c r="E62" s="501"/>
      <c r="F62" s="508"/>
      <c r="G62" s="503"/>
      <c r="H62" s="503"/>
      <c r="I62" s="501"/>
      <c r="S62"/>
    </row>
    <row r="63" spans="1:19" ht="30" customHeight="1">
      <c r="A63" s="170"/>
      <c r="B63" s="146"/>
      <c r="C63" s="180" t="str">
        <f>IFERROR(VLOOKUP($E59,$S:$T,2,FALSE),"-")</f>
        <v>-</v>
      </c>
      <c r="D63" s="166"/>
      <c r="E63" s="501"/>
      <c r="F63" s="508"/>
      <c r="G63" s="503"/>
      <c r="H63" s="503"/>
      <c r="I63" s="501"/>
      <c r="S63"/>
    </row>
    <row r="64" spans="1:19" ht="22.5" customHeight="1">
      <c r="A64" s="167">
        <v>3.2</v>
      </c>
      <c r="B64" s="150"/>
      <c r="C64" s="128" t="s">
        <v>80</v>
      </c>
      <c r="D64" s="169"/>
      <c r="E64" s="305"/>
      <c r="F64" s="150"/>
      <c r="G64" s="126"/>
      <c r="H64" s="126"/>
      <c r="I64" s="127"/>
      <c r="S64"/>
    </row>
    <row r="65" spans="1:23" ht="22.5" customHeight="1">
      <c r="A65" s="159" t="s">
        <v>77</v>
      </c>
      <c r="B65" s="141"/>
      <c r="C65" s="161" t="s">
        <v>229</v>
      </c>
      <c r="D65" s="161"/>
      <c r="E65" s="501" t="str">
        <f>H65</f>
        <v>Insert No. of Credit(s) Here</v>
      </c>
      <c r="F65" s="506" t="str">
        <f>IF(H65="NA","NA",IF(OR(H65="NS",H65=0,H65=1,H65=2),2,"-"))</f>
        <v>-</v>
      </c>
      <c r="G65" s="502" t="s">
        <v>435</v>
      </c>
      <c r="H65" s="502" t="s">
        <v>435</v>
      </c>
      <c r="I65" s="507"/>
      <c r="S65"/>
    </row>
    <row r="66" spans="1:23" ht="51">
      <c r="A66" s="380" t="s">
        <v>178</v>
      </c>
      <c r="B66" s="148"/>
      <c r="C66" s="60" t="s">
        <v>492</v>
      </c>
      <c r="D66" s="60"/>
      <c r="E66" s="501"/>
      <c r="F66" s="506"/>
      <c r="G66" s="502"/>
      <c r="H66" s="502"/>
      <c r="I66" s="507"/>
      <c r="S66"/>
    </row>
    <row r="67" spans="1:23">
      <c r="A67" s="156"/>
      <c r="B67" s="149"/>
      <c r="C67" s="60"/>
      <c r="D67" s="60"/>
      <c r="E67" s="501"/>
      <c r="F67" s="506"/>
      <c r="G67" s="502"/>
      <c r="H67" s="502"/>
      <c r="I67" s="507"/>
      <c r="S67"/>
    </row>
    <row r="68" spans="1:23">
      <c r="A68" s="154"/>
      <c r="B68" s="148"/>
      <c r="C68" s="224" t="s">
        <v>430</v>
      </c>
      <c r="D68" s="65"/>
      <c r="E68" s="501"/>
      <c r="F68" s="506"/>
      <c r="G68" s="502"/>
      <c r="H68" s="502"/>
      <c r="I68" s="507"/>
      <c r="S68"/>
    </row>
    <row r="69" spans="1:23" ht="30" customHeight="1">
      <c r="A69" s="170"/>
      <c r="B69" s="146"/>
      <c r="C69" s="180" t="str">
        <f>IFERROR(VLOOKUP($E65,$S:$T,2,FALSE),"-")</f>
        <v>-</v>
      </c>
      <c r="D69" s="166"/>
      <c r="E69" s="501"/>
      <c r="F69" s="506"/>
      <c r="G69" s="502"/>
      <c r="H69" s="502"/>
      <c r="I69" s="507"/>
      <c r="S69"/>
    </row>
    <row r="70" spans="1:23" ht="22.5" customHeight="1">
      <c r="A70" s="159" t="s">
        <v>78</v>
      </c>
      <c r="B70" s="141"/>
      <c r="C70" s="161" t="s">
        <v>231</v>
      </c>
      <c r="D70" s="161"/>
      <c r="E70" s="501" t="str">
        <f>H70</f>
        <v>Insert No. of Credit(s) Here</v>
      </c>
      <c r="F70" s="506" t="str">
        <f>IF(H70="NA","NA",IF(OR(H70="NS",H70=0,H70=1),1,"-"))</f>
        <v>-</v>
      </c>
      <c r="G70" s="503" t="s">
        <v>435</v>
      </c>
      <c r="H70" s="503" t="s">
        <v>435</v>
      </c>
      <c r="I70" s="507"/>
      <c r="S70"/>
    </row>
    <row r="71" spans="1:23" ht="38.25">
      <c r="A71" s="380" t="s">
        <v>230</v>
      </c>
      <c r="B71" s="148"/>
      <c r="C71" s="92" t="s">
        <v>493</v>
      </c>
      <c r="D71" s="85"/>
      <c r="E71" s="501"/>
      <c r="F71" s="506"/>
      <c r="G71" s="503"/>
      <c r="H71" s="503"/>
      <c r="I71" s="507"/>
      <c r="S71"/>
    </row>
    <row r="72" spans="1:23">
      <c r="A72" s="154"/>
      <c r="B72" s="148"/>
      <c r="C72" s="85"/>
      <c r="D72" s="85"/>
      <c r="E72" s="501"/>
      <c r="F72" s="506"/>
      <c r="G72" s="503"/>
      <c r="H72" s="503"/>
      <c r="I72" s="507"/>
      <c r="S72"/>
    </row>
    <row r="73" spans="1:23">
      <c r="A73" s="154"/>
      <c r="B73" s="148"/>
      <c r="C73" s="224" t="s">
        <v>430</v>
      </c>
      <c r="D73" s="65"/>
      <c r="E73" s="501"/>
      <c r="F73" s="506"/>
      <c r="G73" s="503"/>
      <c r="H73" s="503"/>
      <c r="I73" s="507"/>
      <c r="S73"/>
    </row>
    <row r="74" spans="1:23" ht="30" customHeight="1">
      <c r="A74" s="170"/>
      <c r="B74" s="146"/>
      <c r="C74" s="180" t="str">
        <f>IFERROR(VLOOKUP($E70,$S:$T,2,FALSE),"-")</f>
        <v>-</v>
      </c>
      <c r="D74" s="166"/>
      <c r="E74" s="501"/>
      <c r="F74" s="506"/>
      <c r="G74" s="503"/>
      <c r="H74" s="503"/>
      <c r="I74" s="507"/>
      <c r="S74"/>
    </row>
    <row r="75" spans="1:23" ht="22.5" customHeight="1">
      <c r="A75" s="159" t="s">
        <v>79</v>
      </c>
      <c r="B75" s="141"/>
      <c r="C75" s="161" t="s">
        <v>233</v>
      </c>
      <c r="D75" s="161"/>
      <c r="E75" s="501" t="str">
        <f>H75</f>
        <v>Insert No. of Credit(s) Here</v>
      </c>
      <c r="F75" s="506" t="str">
        <f>IF(H75="NA","NA",IF(OR(H75="NS",H75=0,H75=1),1,"-"))</f>
        <v>-</v>
      </c>
      <c r="G75" s="503" t="s">
        <v>435</v>
      </c>
      <c r="H75" s="503" t="s">
        <v>435</v>
      </c>
      <c r="I75" s="501"/>
      <c r="S75"/>
    </row>
    <row r="76" spans="1:23" ht="22.5" customHeight="1">
      <c r="A76" s="153" t="s">
        <v>232</v>
      </c>
      <c r="B76" s="147"/>
      <c r="C76" s="86" t="s">
        <v>494</v>
      </c>
      <c r="D76" s="86"/>
      <c r="E76" s="501"/>
      <c r="F76" s="506"/>
      <c r="G76" s="503"/>
      <c r="H76" s="503"/>
      <c r="I76" s="501"/>
      <c r="S76"/>
    </row>
    <row r="77" spans="1:23" s="112" customFormat="1" ht="25.5">
      <c r="A77" s="382" t="s">
        <v>182</v>
      </c>
      <c r="B77" s="145"/>
      <c r="C77" s="60" t="s">
        <v>495</v>
      </c>
      <c r="D77" s="60"/>
      <c r="E77" s="501"/>
      <c r="F77" s="506"/>
      <c r="G77" s="503"/>
      <c r="H77" s="503"/>
      <c r="I77" s="501"/>
      <c r="J77" s="111"/>
      <c r="K77" s="111"/>
      <c r="L77" s="111"/>
      <c r="S77"/>
      <c r="T77"/>
      <c r="U77"/>
      <c r="V77"/>
      <c r="W77"/>
    </row>
    <row r="78" spans="1:23">
      <c r="A78" s="154"/>
      <c r="B78" s="148"/>
      <c r="C78" s="60"/>
      <c r="D78" s="60"/>
      <c r="E78" s="501"/>
      <c r="F78" s="506"/>
      <c r="G78" s="503"/>
      <c r="H78" s="503"/>
      <c r="I78" s="501"/>
      <c r="S78"/>
    </row>
    <row r="79" spans="1:23">
      <c r="A79" s="154"/>
      <c r="B79" s="148"/>
      <c r="C79" s="224" t="s">
        <v>430</v>
      </c>
      <c r="D79" s="65"/>
      <c r="E79" s="501"/>
      <c r="F79" s="506"/>
      <c r="G79" s="503"/>
      <c r="H79" s="503"/>
      <c r="I79" s="501"/>
      <c r="S79"/>
    </row>
    <row r="80" spans="1:23" ht="30" customHeight="1">
      <c r="A80" s="170"/>
      <c r="B80" s="146"/>
      <c r="C80" s="180" t="str">
        <f>IFERROR(VLOOKUP($E75,$S:$T,2,FALSE),"-")</f>
        <v>-</v>
      </c>
      <c r="D80" s="166"/>
      <c r="E80" s="501"/>
      <c r="F80" s="506"/>
      <c r="G80" s="503"/>
      <c r="H80" s="503"/>
      <c r="I80" s="501"/>
      <c r="S80"/>
    </row>
    <row r="81" spans="1:19" ht="22.5" customHeight="1">
      <c r="A81" s="159" t="s">
        <v>234</v>
      </c>
      <c r="B81" s="141"/>
      <c r="C81" s="161" t="s">
        <v>235</v>
      </c>
      <c r="D81" s="161"/>
      <c r="E81" s="501" t="str">
        <f>H81</f>
        <v>Insert No. of Credit(s) Here</v>
      </c>
      <c r="F81" s="506" t="str">
        <f>IF(H81="NA","NA",IF(OR(H81="NS",H81=0,H81=1),1,"-"))</f>
        <v>-</v>
      </c>
      <c r="G81" s="503" t="s">
        <v>435</v>
      </c>
      <c r="H81" s="503" t="s">
        <v>435</v>
      </c>
      <c r="I81" s="501"/>
      <c r="S81"/>
    </row>
    <row r="82" spans="1:19" ht="25.5">
      <c r="A82" s="380" t="s">
        <v>182</v>
      </c>
      <c r="B82" s="148"/>
      <c r="C82" s="60" t="s">
        <v>236</v>
      </c>
      <c r="D82" s="60"/>
      <c r="E82" s="501"/>
      <c r="F82" s="506"/>
      <c r="G82" s="503"/>
      <c r="H82" s="503"/>
      <c r="I82" s="501"/>
      <c r="S82"/>
    </row>
    <row r="83" spans="1:19">
      <c r="A83" s="154"/>
      <c r="B83" s="148"/>
      <c r="C83" s="60"/>
      <c r="D83" s="60"/>
      <c r="E83" s="501"/>
      <c r="F83" s="506"/>
      <c r="G83" s="503"/>
      <c r="H83" s="503"/>
      <c r="I83" s="501"/>
      <c r="S83"/>
    </row>
    <row r="84" spans="1:19">
      <c r="A84" s="154"/>
      <c r="B84" s="148"/>
      <c r="C84" s="224" t="s">
        <v>430</v>
      </c>
      <c r="D84" s="65"/>
      <c r="E84" s="501"/>
      <c r="F84" s="506"/>
      <c r="G84" s="503"/>
      <c r="H84" s="503"/>
      <c r="I84" s="501"/>
      <c r="S84"/>
    </row>
    <row r="85" spans="1:19" ht="30" customHeight="1">
      <c r="A85" s="170"/>
      <c r="B85" s="146"/>
      <c r="C85" s="180" t="str">
        <f>IFERROR(VLOOKUP($E81,$S:$T,2,FALSE),"-")</f>
        <v>-</v>
      </c>
      <c r="D85" s="166"/>
      <c r="E85" s="501"/>
      <c r="F85" s="506"/>
      <c r="G85" s="503"/>
      <c r="H85" s="503"/>
      <c r="I85" s="501"/>
      <c r="S85"/>
    </row>
    <row r="86" spans="1:19" ht="22.5" customHeight="1">
      <c r="A86" s="159" t="s">
        <v>237</v>
      </c>
      <c r="B86" s="141"/>
      <c r="C86" s="161" t="s">
        <v>497</v>
      </c>
      <c r="D86" s="161"/>
      <c r="E86" s="501" t="str">
        <f>H86</f>
        <v>Insert No. of Credit(s) Here</v>
      </c>
      <c r="F86" s="506" t="str">
        <f>IF(H86="NA","NA",IF(OR(H86="NS",H86=0,H86=1),1,"-"))</f>
        <v>-</v>
      </c>
      <c r="G86" s="503" t="s">
        <v>435</v>
      </c>
      <c r="H86" s="503" t="s">
        <v>435</v>
      </c>
      <c r="I86" s="501"/>
      <c r="S86"/>
    </row>
    <row r="87" spans="1:19" ht="25.5">
      <c r="A87" s="380" t="s">
        <v>182</v>
      </c>
      <c r="B87" s="148"/>
      <c r="C87" s="60" t="s">
        <v>496</v>
      </c>
      <c r="D87" s="60"/>
      <c r="E87" s="501"/>
      <c r="F87" s="506"/>
      <c r="G87" s="503"/>
      <c r="H87" s="503"/>
      <c r="I87" s="501"/>
      <c r="S87"/>
    </row>
    <row r="88" spans="1:19">
      <c r="A88" s="154"/>
      <c r="B88" s="148"/>
      <c r="C88" s="60"/>
      <c r="D88" s="60"/>
      <c r="E88" s="501"/>
      <c r="F88" s="506"/>
      <c r="G88" s="503"/>
      <c r="H88" s="503"/>
      <c r="I88" s="501"/>
      <c r="S88"/>
    </row>
    <row r="89" spans="1:19">
      <c r="A89" s="154"/>
      <c r="B89" s="148"/>
      <c r="C89" s="224" t="s">
        <v>430</v>
      </c>
      <c r="D89" s="65"/>
      <c r="E89" s="501"/>
      <c r="F89" s="506"/>
      <c r="G89" s="503"/>
      <c r="H89" s="503"/>
      <c r="I89" s="501"/>
      <c r="S89"/>
    </row>
    <row r="90" spans="1:19" ht="30" customHeight="1">
      <c r="A90" s="170"/>
      <c r="B90" s="146"/>
      <c r="C90" s="180" t="str">
        <f>IFERROR(VLOOKUP($E86,$S:$T,2,FALSE),"-")</f>
        <v>-</v>
      </c>
      <c r="D90" s="166"/>
      <c r="E90" s="501"/>
      <c r="F90" s="506"/>
      <c r="G90" s="503"/>
      <c r="H90" s="503"/>
      <c r="I90" s="501"/>
      <c r="S90"/>
    </row>
    <row r="91" spans="1:19" ht="22.5" customHeight="1">
      <c r="A91" s="159" t="s">
        <v>81</v>
      </c>
      <c r="B91" s="141"/>
      <c r="C91" s="161" t="s">
        <v>239</v>
      </c>
      <c r="D91" s="161"/>
      <c r="E91" s="501" t="str">
        <f>H91</f>
        <v>Insert No. of Credit(s) Here</v>
      </c>
      <c r="F91" s="506" t="str">
        <f>IF(H91="NA","NA",IF(OR(H91="NS",H91=0,H91=1),1,"-"))</f>
        <v>-</v>
      </c>
      <c r="G91" s="503" t="s">
        <v>435</v>
      </c>
      <c r="H91" s="503" t="s">
        <v>435</v>
      </c>
      <c r="I91" s="501"/>
      <c r="S91"/>
    </row>
    <row r="92" spans="1:19" ht="22.5" customHeight="1">
      <c r="A92" s="153" t="s">
        <v>238</v>
      </c>
      <c r="B92" s="147"/>
      <c r="C92" s="86" t="s">
        <v>240</v>
      </c>
      <c r="D92" s="86"/>
      <c r="E92" s="501"/>
      <c r="F92" s="506"/>
      <c r="G92" s="503"/>
      <c r="H92" s="503"/>
      <c r="I92" s="501"/>
      <c r="S92"/>
    </row>
    <row r="93" spans="1:19" ht="38.25">
      <c r="A93" s="380" t="s">
        <v>182</v>
      </c>
      <c r="B93" s="148"/>
      <c r="C93" s="60" t="s">
        <v>498</v>
      </c>
      <c r="D93" s="60"/>
      <c r="E93" s="501"/>
      <c r="F93" s="506"/>
      <c r="G93" s="503"/>
      <c r="H93" s="503"/>
      <c r="I93" s="501"/>
      <c r="S93"/>
    </row>
    <row r="94" spans="1:19">
      <c r="A94" s="154"/>
      <c r="B94" s="148"/>
      <c r="C94" s="60"/>
      <c r="D94" s="60"/>
      <c r="E94" s="501"/>
      <c r="F94" s="506"/>
      <c r="G94" s="503"/>
      <c r="H94" s="503"/>
      <c r="I94" s="501"/>
      <c r="S94"/>
    </row>
    <row r="95" spans="1:19">
      <c r="A95" s="154"/>
      <c r="B95" s="148"/>
      <c r="C95" s="224" t="s">
        <v>430</v>
      </c>
      <c r="D95" s="65"/>
      <c r="E95" s="501"/>
      <c r="F95" s="506"/>
      <c r="G95" s="503"/>
      <c r="H95" s="503"/>
      <c r="I95" s="501"/>
      <c r="S95"/>
    </row>
    <row r="96" spans="1:19" ht="30" customHeight="1">
      <c r="A96" s="170"/>
      <c r="B96" s="146"/>
      <c r="C96" s="180" t="str">
        <f>IFERROR(VLOOKUP($E91,$S:$T,2,FALSE),"-")</f>
        <v>-</v>
      </c>
      <c r="D96" s="166"/>
      <c r="E96" s="501"/>
      <c r="F96" s="506"/>
      <c r="G96" s="503"/>
      <c r="H96" s="503"/>
      <c r="I96" s="501"/>
      <c r="S96"/>
    </row>
    <row r="97" spans="1:19" ht="22.5" customHeight="1">
      <c r="A97" s="159" t="s">
        <v>241</v>
      </c>
      <c r="B97" s="141"/>
      <c r="C97" s="161" t="s">
        <v>242</v>
      </c>
      <c r="D97" s="161"/>
      <c r="E97" s="501" t="str">
        <f>H97</f>
        <v>Insert No. of Credit(s) Here</v>
      </c>
      <c r="F97" s="506" t="str">
        <f>IF(H97="NA","NA",IF(OR(H97="NS",H97=0,H97=1),1,"-"))</f>
        <v>-</v>
      </c>
      <c r="G97" s="503" t="s">
        <v>435</v>
      </c>
      <c r="H97" s="503" t="s">
        <v>435</v>
      </c>
      <c r="I97" s="501"/>
      <c r="S97"/>
    </row>
    <row r="98" spans="1:19" ht="38.25">
      <c r="A98" s="380" t="s">
        <v>182</v>
      </c>
      <c r="B98" s="148"/>
      <c r="C98" s="60" t="s">
        <v>499</v>
      </c>
      <c r="D98" s="60"/>
      <c r="E98" s="501"/>
      <c r="F98" s="506"/>
      <c r="G98" s="503"/>
      <c r="H98" s="503"/>
      <c r="I98" s="501"/>
      <c r="S98"/>
    </row>
    <row r="99" spans="1:19">
      <c r="A99" s="154"/>
      <c r="B99" s="148"/>
      <c r="C99" s="60"/>
      <c r="D99" s="60"/>
      <c r="E99" s="501"/>
      <c r="F99" s="506"/>
      <c r="G99" s="503"/>
      <c r="H99" s="503"/>
      <c r="I99" s="501"/>
      <c r="S99"/>
    </row>
    <row r="100" spans="1:19">
      <c r="A100" s="154"/>
      <c r="B100" s="148"/>
      <c r="C100" s="224" t="s">
        <v>430</v>
      </c>
      <c r="D100" s="65"/>
      <c r="E100" s="501"/>
      <c r="F100" s="506"/>
      <c r="G100" s="503"/>
      <c r="H100" s="503"/>
      <c r="I100" s="501"/>
      <c r="S100"/>
    </row>
    <row r="101" spans="1:19" ht="30" customHeight="1">
      <c r="A101" s="170"/>
      <c r="B101" s="146"/>
      <c r="C101" s="180" t="str">
        <f>IFERROR(VLOOKUP($E97,$S:$T,2,FALSE),"-")</f>
        <v>-</v>
      </c>
      <c r="D101" s="166"/>
      <c r="E101" s="501"/>
      <c r="F101" s="506"/>
      <c r="G101" s="503"/>
      <c r="H101" s="503"/>
      <c r="I101" s="501"/>
      <c r="S101"/>
    </row>
    <row r="102" spans="1:19" ht="22.5" customHeight="1">
      <c r="A102" s="159" t="s">
        <v>82</v>
      </c>
      <c r="B102" s="141"/>
      <c r="C102" s="161" t="s">
        <v>500</v>
      </c>
      <c r="D102" s="161"/>
      <c r="E102" s="500" t="str">
        <f>H102</f>
        <v>Insert No. of Credit(s) Here</v>
      </c>
      <c r="F102" s="505" t="str">
        <f>IF(H102="NA","NA",IF(OR(H102="NS",H102=0,H102=1,H102=2),2,"-"))</f>
        <v>-</v>
      </c>
      <c r="G102" s="502" t="s">
        <v>435</v>
      </c>
      <c r="H102" s="502" t="s">
        <v>435</v>
      </c>
      <c r="I102" s="504"/>
      <c r="S102"/>
    </row>
    <row r="103" spans="1:19" ht="76.5">
      <c r="A103" s="380" t="s">
        <v>178</v>
      </c>
      <c r="B103" s="148"/>
      <c r="C103" s="60" t="s">
        <v>501</v>
      </c>
      <c r="D103" s="60"/>
      <c r="E103" s="500"/>
      <c r="F103" s="505"/>
      <c r="G103" s="502"/>
      <c r="H103" s="502"/>
      <c r="I103" s="504"/>
      <c r="S103"/>
    </row>
    <row r="104" spans="1:19">
      <c r="A104" s="156"/>
      <c r="B104" s="149"/>
      <c r="C104" s="60"/>
      <c r="D104" s="60"/>
      <c r="E104" s="500"/>
      <c r="F104" s="505"/>
      <c r="G104" s="502"/>
      <c r="H104" s="502"/>
      <c r="I104" s="504"/>
      <c r="S104"/>
    </row>
    <row r="105" spans="1:19">
      <c r="A105" s="154"/>
      <c r="B105" s="148"/>
      <c r="C105" s="224" t="s">
        <v>430</v>
      </c>
      <c r="D105" s="65"/>
      <c r="E105" s="500"/>
      <c r="F105" s="505"/>
      <c r="G105" s="502"/>
      <c r="H105" s="502"/>
      <c r="I105" s="504"/>
      <c r="S105"/>
    </row>
    <row r="106" spans="1:19" ht="30" customHeight="1">
      <c r="A106" s="170"/>
      <c r="B106" s="146"/>
      <c r="C106" s="180" t="str">
        <f>IFERROR(VLOOKUP($E102,$S:$T,2,FALSE),"-")</f>
        <v>-</v>
      </c>
      <c r="D106" s="166"/>
      <c r="E106" s="500"/>
      <c r="F106" s="505"/>
      <c r="G106" s="502"/>
      <c r="H106" s="502"/>
      <c r="I106" s="504"/>
      <c r="S106"/>
    </row>
    <row r="107" spans="1:19" ht="22.5" customHeight="1">
      <c r="A107" s="167">
        <v>3.3</v>
      </c>
      <c r="B107" s="150"/>
      <c r="C107" s="128" t="s">
        <v>63</v>
      </c>
      <c r="D107" s="169"/>
      <c r="E107" s="305"/>
      <c r="F107" s="150"/>
      <c r="G107" s="126"/>
      <c r="H107" s="126"/>
      <c r="I107" s="127"/>
      <c r="S107"/>
    </row>
    <row r="108" spans="1:19" ht="22.5" customHeight="1">
      <c r="A108" s="159" t="s">
        <v>83</v>
      </c>
      <c r="B108" s="141"/>
      <c r="C108" s="161" t="s">
        <v>244</v>
      </c>
      <c r="D108" s="161"/>
      <c r="E108" s="500" t="str">
        <f>H108</f>
        <v>Insert No. of Credit(s) Here</v>
      </c>
      <c r="F108" s="505" t="str">
        <f>IF(H108="NA","NA",IF(OR(H108="NS",H108=0,H108=1,H108=2),2,"-"))</f>
        <v>-</v>
      </c>
      <c r="G108" s="502" t="s">
        <v>435</v>
      </c>
      <c r="H108" s="502" t="s">
        <v>435</v>
      </c>
      <c r="I108" s="504" t="s">
        <v>11</v>
      </c>
      <c r="S108"/>
    </row>
    <row r="109" spans="1:19" ht="51">
      <c r="A109" s="380" t="s">
        <v>243</v>
      </c>
      <c r="B109" s="148"/>
      <c r="C109" s="60" t="s">
        <v>502</v>
      </c>
      <c r="D109" s="60"/>
      <c r="E109" s="500"/>
      <c r="F109" s="505"/>
      <c r="G109" s="502"/>
      <c r="H109" s="502"/>
      <c r="I109" s="504"/>
      <c r="S109"/>
    </row>
    <row r="110" spans="1:19">
      <c r="A110" s="156"/>
      <c r="B110" s="149"/>
      <c r="C110" s="60"/>
      <c r="D110" s="60"/>
      <c r="E110" s="500"/>
      <c r="F110" s="505"/>
      <c r="G110" s="502"/>
      <c r="H110" s="502"/>
      <c r="I110" s="504"/>
      <c r="S110"/>
    </row>
    <row r="111" spans="1:19">
      <c r="A111" s="154"/>
      <c r="B111" s="148"/>
      <c r="C111" s="224" t="s">
        <v>430</v>
      </c>
      <c r="D111" s="65"/>
      <c r="E111" s="500"/>
      <c r="F111" s="505"/>
      <c r="G111" s="502"/>
      <c r="H111" s="502"/>
      <c r="I111" s="504"/>
      <c r="S111"/>
    </row>
    <row r="112" spans="1:19" ht="30" customHeight="1">
      <c r="A112" s="170"/>
      <c r="B112" s="146"/>
      <c r="C112" s="180" t="str">
        <f>IFERROR(VLOOKUP($E108,$S:$T,2,FALSE),"-")</f>
        <v>-</v>
      </c>
      <c r="D112" s="166"/>
      <c r="E112" s="500"/>
      <c r="F112" s="505"/>
      <c r="G112" s="502"/>
      <c r="H112" s="502"/>
      <c r="I112" s="504"/>
      <c r="S112"/>
    </row>
    <row r="113" spans="1:23" ht="22.5" customHeight="1">
      <c r="A113" s="159" t="s">
        <v>84</v>
      </c>
      <c r="B113" s="141"/>
      <c r="C113" s="161" t="s">
        <v>245</v>
      </c>
      <c r="D113" s="161"/>
      <c r="E113" s="500" t="str">
        <f>H113</f>
        <v>Insert No. of Credit(s) Here</v>
      </c>
      <c r="F113" s="505" t="str">
        <f>IF(H113="NA","NA",IF(OR(H113="NS",H113=0,H113=1,H113=2),2,"-"))</f>
        <v>-</v>
      </c>
      <c r="G113" s="502" t="s">
        <v>435</v>
      </c>
      <c r="H113" s="502" t="s">
        <v>435</v>
      </c>
      <c r="I113" s="504"/>
      <c r="S113"/>
    </row>
    <row r="114" spans="1:23" ht="51">
      <c r="A114" s="380" t="s">
        <v>178</v>
      </c>
      <c r="B114" s="148"/>
      <c r="C114" s="60" t="s">
        <v>425</v>
      </c>
      <c r="D114" s="60"/>
      <c r="E114" s="500"/>
      <c r="F114" s="505"/>
      <c r="G114" s="502"/>
      <c r="H114" s="502"/>
      <c r="I114" s="504"/>
      <c r="S114"/>
    </row>
    <row r="115" spans="1:23">
      <c r="A115" s="156"/>
      <c r="B115" s="149"/>
      <c r="C115" s="60"/>
      <c r="D115" s="60"/>
      <c r="E115" s="500"/>
      <c r="F115" s="505"/>
      <c r="G115" s="502"/>
      <c r="H115" s="502"/>
      <c r="I115" s="504"/>
      <c r="S115"/>
    </row>
    <row r="116" spans="1:23">
      <c r="A116" s="154"/>
      <c r="B116" s="148"/>
      <c r="C116" s="224" t="s">
        <v>430</v>
      </c>
      <c r="D116" s="65"/>
      <c r="E116" s="500"/>
      <c r="F116" s="505"/>
      <c r="G116" s="502"/>
      <c r="H116" s="502"/>
      <c r="I116" s="504"/>
      <c r="S116"/>
    </row>
    <row r="117" spans="1:23" ht="30" customHeight="1">
      <c r="A117" s="170"/>
      <c r="B117" s="146"/>
      <c r="C117" s="180" t="str">
        <f>IFERROR(VLOOKUP($E113,$S:$T,2,FALSE),"-")</f>
        <v>-</v>
      </c>
      <c r="D117" s="166"/>
      <c r="E117" s="500"/>
      <c r="F117" s="505"/>
      <c r="G117" s="502"/>
      <c r="H117" s="502"/>
      <c r="I117" s="504"/>
      <c r="S117"/>
    </row>
    <row r="118" spans="1:23" ht="22.5" customHeight="1">
      <c r="A118" s="498" t="s">
        <v>462</v>
      </c>
      <c r="B118" s="499"/>
      <c r="C118" s="499"/>
      <c r="D118" s="345"/>
      <c r="E118" s="217">
        <f>F118</f>
        <v>0</v>
      </c>
      <c r="F118" s="217">
        <f>SUM(F29:F117)</f>
        <v>0</v>
      </c>
      <c r="G118" s="217"/>
      <c r="H118" s="217"/>
      <c r="I118" s="504" t="s">
        <v>427</v>
      </c>
      <c r="S118"/>
    </row>
    <row r="119" spans="1:23" ht="22.5" customHeight="1">
      <c r="A119" s="462" t="s">
        <v>384</v>
      </c>
      <c r="B119" s="463"/>
      <c r="C119" s="463"/>
      <c r="D119" s="138"/>
      <c r="E119" s="216">
        <f>H119</f>
        <v>0</v>
      </c>
      <c r="F119" s="216"/>
      <c r="G119" s="216">
        <f>SUM(G29,G38:G117)</f>
        <v>0</v>
      </c>
      <c r="H119" s="216">
        <f>SUM(H29,H38:H117)</f>
        <v>0</v>
      </c>
      <c r="I119" s="504"/>
      <c r="S119"/>
    </row>
    <row r="120" spans="1:23">
      <c r="A120" s="16"/>
      <c r="B120" s="16"/>
      <c r="C120" s="16"/>
      <c r="D120" s="16"/>
      <c r="E120" s="16"/>
      <c r="F120" s="16"/>
      <c r="G120" s="16"/>
      <c r="H120" s="16"/>
      <c r="I120" s="90"/>
      <c r="S120" s="89"/>
      <c r="T120" s="89"/>
      <c r="U120" s="89"/>
      <c r="V120" s="89"/>
      <c r="W120" s="89"/>
    </row>
    <row r="121" spans="1:23">
      <c r="A121" s="16"/>
      <c r="B121" s="16"/>
      <c r="C121" s="16"/>
      <c r="D121" s="16"/>
      <c r="E121" s="16"/>
      <c r="F121" s="16"/>
      <c r="G121" s="16"/>
      <c r="H121" s="16"/>
      <c r="I121" s="90"/>
      <c r="S121"/>
    </row>
    <row r="122" spans="1:23">
      <c r="A122" s="16"/>
      <c r="B122" s="16"/>
      <c r="C122" s="16"/>
      <c r="D122" s="16"/>
      <c r="E122" s="16"/>
      <c r="F122" s="16"/>
      <c r="G122" s="16"/>
      <c r="H122" s="16"/>
      <c r="I122" s="90"/>
      <c r="S122"/>
    </row>
    <row r="123" spans="1:23">
      <c r="A123" s="16"/>
      <c r="B123" s="16"/>
      <c r="C123" s="16"/>
      <c r="D123" s="16"/>
      <c r="E123" s="16"/>
      <c r="F123" s="16"/>
      <c r="G123" s="16"/>
      <c r="H123" s="16"/>
      <c r="I123" s="90"/>
      <c r="S123"/>
    </row>
    <row r="124" spans="1:23">
      <c r="S124"/>
    </row>
    <row r="125" spans="1:23">
      <c r="S125"/>
    </row>
    <row r="126" spans="1:23">
      <c r="S126"/>
    </row>
    <row r="127" spans="1:23" ht="12.75" customHeight="1">
      <c r="S127"/>
    </row>
    <row r="128" spans="1:23" ht="13.5" customHeight="1">
      <c r="S128"/>
    </row>
    <row r="129" spans="19:19">
      <c r="S129"/>
    </row>
    <row r="130" spans="19:19">
      <c r="S130"/>
    </row>
    <row r="131" spans="19:19">
      <c r="S131"/>
    </row>
    <row r="132" spans="19:19">
      <c r="S132"/>
    </row>
    <row r="133" spans="19:19">
      <c r="S133"/>
    </row>
    <row r="134" spans="19:19">
      <c r="S134"/>
    </row>
    <row r="135" spans="19:19">
      <c r="S135"/>
    </row>
    <row r="136" spans="19:19">
      <c r="S136"/>
    </row>
    <row r="137" spans="19:19">
      <c r="S137"/>
    </row>
    <row r="138" spans="19:19">
      <c r="S138"/>
    </row>
    <row r="139" spans="19:19">
      <c r="S139"/>
    </row>
    <row r="140" spans="19:19">
      <c r="S140"/>
    </row>
    <row r="141" spans="19:19">
      <c r="S141"/>
    </row>
    <row r="142" spans="19:19">
      <c r="S142"/>
    </row>
    <row r="143" spans="19:19">
      <c r="S143"/>
    </row>
    <row r="144" spans="19:19">
      <c r="S144"/>
    </row>
    <row r="145" spans="19:19">
      <c r="S145"/>
    </row>
    <row r="146" spans="19:19">
      <c r="S146"/>
    </row>
    <row r="147" spans="19:19">
      <c r="S147"/>
    </row>
    <row r="148" spans="19:19">
      <c r="S148"/>
    </row>
    <row r="149" spans="19:19">
      <c r="S149"/>
    </row>
    <row r="150" spans="19:19">
      <c r="S150"/>
    </row>
    <row r="151" spans="19:19">
      <c r="S151"/>
    </row>
    <row r="152" spans="19:19">
      <c r="S152"/>
    </row>
    <row r="153" spans="19:19">
      <c r="S153"/>
    </row>
    <row r="154" spans="19:19">
      <c r="S154"/>
    </row>
    <row r="155" spans="19:19">
      <c r="S155"/>
    </row>
    <row r="156" spans="19:19">
      <c r="S156"/>
    </row>
    <row r="157" spans="19:19">
      <c r="S157"/>
    </row>
    <row r="158" spans="19:19">
      <c r="S158"/>
    </row>
    <row r="159" spans="19:19">
      <c r="S159"/>
    </row>
    <row r="160" spans="19:19">
      <c r="S160"/>
    </row>
    <row r="161" spans="19:19">
      <c r="S161"/>
    </row>
    <row r="162" spans="19:19">
      <c r="S162"/>
    </row>
    <row r="163" spans="19:19">
      <c r="S163"/>
    </row>
    <row r="164" spans="19:19">
      <c r="S164"/>
    </row>
    <row r="165" spans="19:19">
      <c r="S165"/>
    </row>
    <row r="166" spans="19:19">
      <c r="S166"/>
    </row>
    <row r="167" spans="19:19">
      <c r="S167"/>
    </row>
    <row r="168" spans="19:19">
      <c r="S168"/>
    </row>
    <row r="169" spans="19:19">
      <c r="S169"/>
    </row>
    <row r="170" spans="19:19">
      <c r="S170"/>
    </row>
    <row r="171" spans="19:19">
      <c r="S171"/>
    </row>
    <row r="172" spans="19:19">
      <c r="S172"/>
    </row>
    <row r="173" spans="19:19">
      <c r="S173"/>
    </row>
    <row r="174" spans="19:19">
      <c r="S174"/>
    </row>
    <row r="175" spans="19:19">
      <c r="S175"/>
    </row>
    <row r="176" spans="19:19">
      <c r="S176"/>
    </row>
    <row r="177" spans="19:19">
      <c r="S177"/>
    </row>
    <row r="178" spans="19:19">
      <c r="S178"/>
    </row>
    <row r="179" spans="19:19">
      <c r="S179"/>
    </row>
    <row r="180" spans="19:19">
      <c r="S180"/>
    </row>
    <row r="181" spans="19:19">
      <c r="S181"/>
    </row>
    <row r="182" spans="19:19">
      <c r="S182"/>
    </row>
    <row r="183" spans="19:19">
      <c r="S183"/>
    </row>
    <row r="184" spans="19:19">
      <c r="S184"/>
    </row>
    <row r="185" spans="19:19">
      <c r="S185"/>
    </row>
    <row r="186" spans="19:19">
      <c r="S186"/>
    </row>
    <row r="187" spans="19:19">
      <c r="S187"/>
    </row>
    <row r="188" spans="19:19">
      <c r="S188"/>
    </row>
    <row r="189" spans="19:19">
      <c r="S189"/>
    </row>
    <row r="190" spans="19:19">
      <c r="S190"/>
    </row>
    <row r="191" spans="19:19">
      <c r="S191"/>
    </row>
    <row r="192" spans="19:19">
      <c r="S192"/>
    </row>
    <row r="193" spans="19:19">
      <c r="S193"/>
    </row>
    <row r="194" spans="19:19">
      <c r="S194"/>
    </row>
    <row r="195" spans="19:19">
      <c r="S195"/>
    </row>
    <row r="196" spans="19:19">
      <c r="S196"/>
    </row>
    <row r="197" spans="19:19">
      <c r="S197"/>
    </row>
    <row r="198" spans="19:19">
      <c r="S198"/>
    </row>
    <row r="199" spans="19:19">
      <c r="S199"/>
    </row>
    <row r="200" spans="19:19">
      <c r="S200"/>
    </row>
    <row r="201" spans="19:19">
      <c r="S201"/>
    </row>
    <row r="202" spans="19:19">
      <c r="S202"/>
    </row>
    <row r="203" spans="19:19">
      <c r="S203"/>
    </row>
    <row r="204" spans="19:19">
      <c r="S204"/>
    </row>
    <row r="205" spans="19:19">
      <c r="S205"/>
    </row>
    <row r="206" spans="19:19">
      <c r="S206"/>
    </row>
    <row r="207" spans="19:19">
      <c r="S207"/>
    </row>
    <row r="208" spans="19:19">
      <c r="S208"/>
    </row>
    <row r="209" spans="19:19">
      <c r="S209"/>
    </row>
    <row r="210" spans="19:19">
      <c r="S210"/>
    </row>
    <row r="211" spans="19:19">
      <c r="S211"/>
    </row>
    <row r="212" spans="19:19">
      <c r="S212"/>
    </row>
    <row r="213" spans="19:19">
      <c r="S213"/>
    </row>
    <row r="214" spans="19:19">
      <c r="S214"/>
    </row>
    <row r="215" spans="19:19">
      <c r="S215"/>
    </row>
    <row r="216" spans="19:19">
      <c r="S216"/>
    </row>
    <row r="217" spans="19:19">
      <c r="S217"/>
    </row>
    <row r="218" spans="19:19">
      <c r="S218"/>
    </row>
    <row r="219" spans="19:19">
      <c r="S219"/>
    </row>
    <row r="220" spans="19:19">
      <c r="S220"/>
    </row>
    <row r="221" spans="19:19">
      <c r="S221"/>
    </row>
    <row r="222" spans="19:19">
      <c r="S222"/>
    </row>
    <row r="223" spans="19:19">
      <c r="S223"/>
    </row>
    <row r="224" spans="19:19">
      <c r="S224"/>
    </row>
    <row r="225" spans="19:19">
      <c r="S225"/>
    </row>
    <row r="226" spans="19:19">
      <c r="S226"/>
    </row>
    <row r="227" spans="19:19">
      <c r="S227"/>
    </row>
    <row r="228" spans="19:19">
      <c r="S228"/>
    </row>
    <row r="229" spans="19:19">
      <c r="S229"/>
    </row>
    <row r="230" spans="19:19">
      <c r="S230"/>
    </row>
    <row r="231" spans="19:19">
      <c r="S231"/>
    </row>
    <row r="232" spans="19:19">
      <c r="S232"/>
    </row>
    <row r="233" spans="19:19">
      <c r="S233"/>
    </row>
    <row r="234" spans="19:19">
      <c r="S234"/>
    </row>
    <row r="235" spans="19:19">
      <c r="S235"/>
    </row>
    <row r="236" spans="19:19">
      <c r="S236"/>
    </row>
    <row r="237" spans="19:19">
      <c r="S237"/>
    </row>
    <row r="238" spans="19:19">
      <c r="S238"/>
    </row>
    <row r="239" spans="19:19">
      <c r="S239"/>
    </row>
    <row r="240" spans="19:19">
      <c r="S240"/>
    </row>
    <row r="241" spans="19:19">
      <c r="S241"/>
    </row>
    <row r="242" spans="19:19">
      <c r="S242"/>
    </row>
    <row r="243" spans="19:19">
      <c r="S243"/>
    </row>
    <row r="244" spans="19:19">
      <c r="S244"/>
    </row>
    <row r="245" spans="19:19">
      <c r="S245"/>
    </row>
    <row r="246" spans="19:19">
      <c r="S246"/>
    </row>
    <row r="247" spans="19:19">
      <c r="S247"/>
    </row>
    <row r="248" spans="19:19">
      <c r="S248"/>
    </row>
    <row r="249" spans="19:19">
      <c r="S249"/>
    </row>
    <row r="250" spans="19:19">
      <c r="S250"/>
    </row>
    <row r="251" spans="19:19">
      <c r="S251"/>
    </row>
    <row r="252" spans="19:19">
      <c r="S252"/>
    </row>
    <row r="253" spans="19:19">
      <c r="S253"/>
    </row>
    <row r="254" spans="19:19">
      <c r="S254"/>
    </row>
    <row r="255" spans="19:19">
      <c r="S255"/>
    </row>
    <row r="256" spans="19:19">
      <c r="S256"/>
    </row>
    <row r="257" spans="19:19">
      <c r="S257"/>
    </row>
    <row r="258" spans="19:19">
      <c r="S258"/>
    </row>
    <row r="259" spans="19:19">
      <c r="S259"/>
    </row>
    <row r="260" spans="19:19">
      <c r="S260"/>
    </row>
    <row r="261" spans="19:19">
      <c r="S261"/>
    </row>
    <row r="262" spans="19:19">
      <c r="S262"/>
    </row>
    <row r="263" spans="19:19">
      <c r="S263"/>
    </row>
    <row r="264" spans="19:19">
      <c r="S264"/>
    </row>
    <row r="265" spans="19:19">
      <c r="S265"/>
    </row>
    <row r="266" spans="19:19">
      <c r="S266"/>
    </row>
    <row r="267" spans="19:19">
      <c r="S267"/>
    </row>
    <row r="268" spans="19:19">
      <c r="S268"/>
    </row>
    <row r="269" spans="19:19">
      <c r="S269"/>
    </row>
    <row r="270" spans="19:19">
      <c r="S270"/>
    </row>
    <row r="271" spans="19:19">
      <c r="S271"/>
    </row>
    <row r="272" spans="19:19">
      <c r="S272"/>
    </row>
    <row r="273" spans="19:19">
      <c r="S273"/>
    </row>
    <row r="274" spans="19:19">
      <c r="S274"/>
    </row>
    <row r="275" spans="19:19">
      <c r="S275"/>
    </row>
    <row r="276" spans="19:19">
      <c r="S276"/>
    </row>
    <row r="277" spans="19:19">
      <c r="S277"/>
    </row>
    <row r="278" spans="19:19">
      <c r="S278"/>
    </row>
    <row r="279" spans="19:19">
      <c r="S279"/>
    </row>
    <row r="280" spans="19:19">
      <c r="S280"/>
    </row>
    <row r="281" spans="19:19">
      <c r="S281"/>
    </row>
    <row r="282" spans="19:19">
      <c r="S282"/>
    </row>
    <row r="283" spans="19:19">
      <c r="S283"/>
    </row>
    <row r="284" spans="19:19">
      <c r="S284"/>
    </row>
    <row r="285" spans="19:19">
      <c r="S285"/>
    </row>
    <row r="286" spans="19:19">
      <c r="S286"/>
    </row>
    <row r="287" spans="19:19">
      <c r="S287"/>
    </row>
    <row r="288" spans="19:19">
      <c r="S288"/>
    </row>
    <row r="289" spans="19:23">
      <c r="S289"/>
    </row>
    <row r="290" spans="19:23">
      <c r="S290"/>
    </row>
    <row r="291" spans="19:23">
      <c r="S291"/>
    </row>
    <row r="292" spans="19:23">
      <c r="S292"/>
    </row>
    <row r="293" spans="19:23">
      <c r="S293"/>
    </row>
    <row r="294" spans="19:23">
      <c r="S294"/>
    </row>
    <row r="295" spans="19:23">
      <c r="S295"/>
    </row>
    <row r="296" spans="19:23">
      <c r="S296"/>
    </row>
    <row r="297" spans="19:23">
      <c r="S297" t="s">
        <v>379</v>
      </c>
      <c r="T297" t="str">
        <f>"No information was submitted. Credit is not achieved in the "&amp; 'Project Summary'!C9 &amp; "."</f>
        <v>No information was submitted. Credit is not achieved in the Provisional Assessment.</v>
      </c>
      <c r="V297" s="84" t="s">
        <v>3</v>
      </c>
      <c r="W297" t="str">
        <f>"The prerequisite is achieved in the " &amp; 'Project Summary'!C9&amp; "."</f>
        <v>The prerequisite is achieved in the Provisional Assessment.</v>
      </c>
    </row>
    <row r="298" spans="19:23">
      <c r="S298" t="s">
        <v>4</v>
      </c>
      <c r="T298" t="str">
        <f>"Credit is not applicable in the "&amp; 'Project Summary'!C9 &amp; "."</f>
        <v>Credit is not applicable in the Provisional Assessment.</v>
      </c>
      <c r="V298" s="84" t="s">
        <v>4</v>
      </c>
      <c r="W298" t="str">
        <f>"The prerequisite is not applicable in the " &amp; 'Project Summary'!C9&amp; "."</f>
        <v>The prerequisite is not applicable in the Provisional Assessment.</v>
      </c>
    </row>
    <row r="299" spans="19:23">
      <c r="S299">
        <v>0</v>
      </c>
      <c r="T299" t="str">
        <f>"Credit is not achieved in the "&amp; 'Project Summary'!C9 &amp; "."</f>
        <v>Credit is not achieved in the Provisional Assessment.</v>
      </c>
      <c r="V299" s="84">
        <v>0</v>
      </c>
      <c r="W299" t="str">
        <f>"The prerequisite is not achieved in the " &amp; 'Project Summary'!C9&amp; "."</f>
        <v>The prerequisite is not achieved in the Provisional Assessment.</v>
      </c>
    </row>
    <row r="300" spans="19:23">
      <c r="S300">
        <v>1</v>
      </c>
      <c r="T300" t="str">
        <f>"1 credit is achieved in the "&amp; 'Project Summary'!C9 &amp; "."</f>
        <v>1 credit is achieved in the Provisional Assessment.</v>
      </c>
    </row>
    <row r="301" spans="19:23">
      <c r="S301">
        <v>2</v>
      </c>
      <c r="T301" t="str">
        <f>"2 credits are achieved in the "&amp; 'Project Summary'!C9 &amp; "."</f>
        <v>2 credits are achieved in the Provisional Assessment.</v>
      </c>
    </row>
    <row r="302" spans="19:23">
      <c r="S302"/>
    </row>
    <row r="303" spans="19:23">
      <c r="S303">
        <v>3</v>
      </c>
      <c r="T303" t="str">
        <f>"3 credits are achieved in the "&amp; 'Project Summary'!C9 &amp; "."</f>
        <v>3 credits are achieved in the Provisional Assessment.</v>
      </c>
    </row>
    <row r="304" spans="19:23">
      <c r="S304">
        <v>4</v>
      </c>
      <c r="T304" t="str">
        <f>"4 credits are achieved in the "&amp; 'Project Summary'!C9 &amp; "."</f>
        <v>4 credits are achieved in the Provisional Assessment.</v>
      </c>
    </row>
    <row r="305" spans="18:20">
      <c r="S305">
        <v>5</v>
      </c>
      <c r="T305" t="str">
        <f>"5 credits are achieved in the "&amp; 'Project Summary'!C9 &amp; "."</f>
        <v>5 credits are achieved in the Provisional Assessment.</v>
      </c>
    </row>
    <row r="306" spans="18:20">
      <c r="S306">
        <v>6</v>
      </c>
      <c r="T306" t="str">
        <f>"6 credits are achieved in the "&amp; 'Project Summary'!C9 &amp; "."</f>
        <v>6 credits are achieved in the Provisional Assessment.</v>
      </c>
    </row>
    <row r="307" spans="18:20">
      <c r="S307">
        <v>7</v>
      </c>
      <c r="T307" t="str">
        <f>"7 credits are achieved in the "&amp; 'Project Summary'!C9 &amp; "."</f>
        <v>7 credits are achieved in the Provisional Assessment.</v>
      </c>
    </row>
    <row r="308" spans="18:20">
      <c r="S308">
        <v>8</v>
      </c>
      <c r="T308" t="str">
        <f>"8 credits are achieved in the "&amp; 'Project Summary'!C9 &amp; "."</f>
        <v>8 credits are achieved in the Provisional Assessment.</v>
      </c>
    </row>
    <row r="309" spans="18:20">
      <c r="S309">
        <v>9</v>
      </c>
      <c r="T309" t="str">
        <f>"9 credits are achieved in the "&amp; 'Project Summary'!C9 &amp; "."</f>
        <v>9 credits are achieved in the Provisional Assessment.</v>
      </c>
    </row>
    <row r="310" spans="18:20">
      <c r="S310">
        <v>10</v>
      </c>
      <c r="T310" t="str">
        <f>"10 credits are achieved in the "&amp; 'Project Summary'!C9 &amp; "."</f>
        <v>10 credits are achieved in the Provisional Assessment.</v>
      </c>
    </row>
    <row r="311" spans="18:20">
      <c r="S311">
        <v>11</v>
      </c>
      <c r="T311" t="str">
        <f>"11 credits are achieved in the "&amp; 'Project Summary'!C9 &amp; "."</f>
        <v>11 credits are achieved in the Provisional Assessment.</v>
      </c>
    </row>
    <row r="312" spans="18:20">
      <c r="S312">
        <v>12</v>
      </c>
      <c r="T312" t="str">
        <f>"12 credits are achieved in the "&amp; 'Project Summary'!C9 &amp; "."</f>
        <v>12 credits are achieved in the Provisional Assessment.</v>
      </c>
    </row>
    <row r="313" spans="18:20">
      <c r="S313">
        <v>13</v>
      </c>
      <c r="T313" t="str">
        <f>"13 credits are achieved in the "&amp; 'Project Summary'!C9 &amp; "."</f>
        <v>13 credits are achieved in the Provisional Assessment.</v>
      </c>
    </row>
    <row r="314" spans="18:20">
      <c r="S314">
        <v>14</v>
      </c>
      <c r="T314" t="str">
        <f>"14 credits are achieved in the "&amp; 'Project Summary'!C9 &amp; "."</f>
        <v>14 credits are achieved in the Provisional Assessment.</v>
      </c>
    </row>
    <row r="315" spans="18:20">
      <c r="R315" s="83" t="s">
        <v>420</v>
      </c>
      <c r="S315">
        <v>15</v>
      </c>
      <c r="T315" t="str">
        <f>"15 credits are achieved in the "&amp; 'Project Summary'!C9 &amp; "."</f>
        <v>15 credits are achieved in the Provisional Assessment.</v>
      </c>
    </row>
    <row r="316" spans="18:20">
      <c r="R316" s="84" t="s">
        <v>3</v>
      </c>
      <c r="S316" t="s">
        <v>383</v>
      </c>
      <c r="T316" s="18" t="str">
        <f>"1 Bonus credit is achieved in the "&amp; 'Project Summary'!C9 &amp; "."</f>
        <v>1 Bonus credit is achieved in the Provisional Assessment.</v>
      </c>
    </row>
    <row r="317" spans="18:20">
      <c r="R317" s="84" t="s">
        <v>4</v>
      </c>
      <c r="S317"/>
    </row>
    <row r="318" spans="18:20">
      <c r="R318" s="84">
        <v>0</v>
      </c>
      <c r="S318"/>
    </row>
    <row r="319" spans="18:20">
      <c r="R319" s="84"/>
      <c r="S319"/>
    </row>
    <row r="320" spans="18:20">
      <c r="R320" s="84" t="s">
        <v>4</v>
      </c>
    </row>
    <row r="321" spans="18:18">
      <c r="R321" s="84" t="s">
        <v>379</v>
      </c>
    </row>
    <row r="322" spans="18:18">
      <c r="R322" s="84">
        <v>1</v>
      </c>
    </row>
    <row r="323" spans="18:18">
      <c r="R323" s="84">
        <v>0</v>
      </c>
    </row>
    <row r="324" spans="18:18">
      <c r="R324" s="84"/>
    </row>
    <row r="325" spans="18:18">
      <c r="R325" s="84" t="s">
        <v>4</v>
      </c>
    </row>
    <row r="326" spans="18:18">
      <c r="R326" s="84" t="s">
        <v>379</v>
      </c>
    </row>
    <row r="327" spans="18:18">
      <c r="R327" s="84">
        <v>2</v>
      </c>
    </row>
    <row r="328" spans="18:18">
      <c r="R328" s="84">
        <v>1</v>
      </c>
    </row>
    <row r="329" spans="18:18">
      <c r="R329" s="84">
        <v>0</v>
      </c>
    </row>
    <row r="330" spans="18:18">
      <c r="R330" s="84"/>
    </row>
    <row r="331" spans="18:18">
      <c r="R331" s="84" t="s">
        <v>4</v>
      </c>
    </row>
    <row r="332" spans="18:18">
      <c r="R332" s="84">
        <v>1</v>
      </c>
    </row>
    <row r="334" spans="18:18">
      <c r="R334" t="s">
        <v>4</v>
      </c>
    </row>
    <row r="335" spans="18:18">
      <c r="R335">
        <v>2</v>
      </c>
    </row>
  </sheetData>
  <sheetProtection formatRows="0"/>
  <protectedRanges>
    <protectedRange sqref="C116:D116 C111:D111 C105:D105 C100:D100 C95:D95 C89:D89 C84:D84 C79:D79 C73:D73 C68:D68 C62:D62 C57:D57 C52:D52 C46:D46 C41:D41 C36:D36 C32:D32 C26:D26 C21:D21 C16:D16 C11:D11" name="Range1"/>
  </protectedRanges>
  <mergeCells count="103">
    <mergeCell ref="G97:G101"/>
    <mergeCell ref="G102:G106"/>
    <mergeCell ref="G108:G112"/>
    <mergeCell ref="G113:G117"/>
    <mergeCell ref="G70:G74"/>
    <mergeCell ref="G75:G80"/>
    <mergeCell ref="G81:G85"/>
    <mergeCell ref="G86:G90"/>
    <mergeCell ref="G91:G96"/>
    <mergeCell ref="G34:G37"/>
    <mergeCell ref="G38:G42"/>
    <mergeCell ref="G43:G47"/>
    <mergeCell ref="G48:G53"/>
    <mergeCell ref="G54:G58"/>
    <mergeCell ref="G8:G12"/>
    <mergeCell ref="G13:G17"/>
    <mergeCell ref="G18:G22"/>
    <mergeCell ref="G23:G27"/>
    <mergeCell ref="G29:G33"/>
    <mergeCell ref="F108:F112"/>
    <mergeCell ref="F113:F117"/>
    <mergeCell ref="I102:I106"/>
    <mergeCell ref="I108:I112"/>
    <mergeCell ref="I113:I117"/>
    <mergeCell ref="H108:H112"/>
    <mergeCell ref="H113:H117"/>
    <mergeCell ref="H102:H106"/>
    <mergeCell ref="F102:F106"/>
    <mergeCell ref="H65:H69"/>
    <mergeCell ref="F91:F96"/>
    <mergeCell ref="I38:I42"/>
    <mergeCell ref="H75:H80"/>
    <mergeCell ref="I43:I47"/>
    <mergeCell ref="I65:I69"/>
    <mergeCell ref="I70:I74"/>
    <mergeCell ref="F38:F42"/>
    <mergeCell ref="F48:F53"/>
    <mergeCell ref="F54:F58"/>
    <mergeCell ref="F75:F80"/>
    <mergeCell ref="H59:H63"/>
    <mergeCell ref="F59:F63"/>
    <mergeCell ref="F43:F47"/>
    <mergeCell ref="G59:G63"/>
    <mergeCell ref="G65:G69"/>
    <mergeCell ref="I118:I119"/>
    <mergeCell ref="I48:I63"/>
    <mergeCell ref="I75:I90"/>
    <mergeCell ref="F86:F90"/>
    <mergeCell ref="H81:H85"/>
    <mergeCell ref="H86:H90"/>
    <mergeCell ref="H91:H96"/>
    <mergeCell ref="H97:H101"/>
    <mergeCell ref="F70:F74"/>
    <mergeCell ref="H70:H74"/>
    <mergeCell ref="F65:F69"/>
    <mergeCell ref="F81:F85"/>
    <mergeCell ref="F97:F101"/>
    <mergeCell ref="I91:I101"/>
    <mergeCell ref="H48:H53"/>
    <mergeCell ref="H54:H58"/>
    <mergeCell ref="F8:F12"/>
    <mergeCell ref="F13:F17"/>
    <mergeCell ref="F18:F22"/>
    <mergeCell ref="F23:F27"/>
    <mergeCell ref="F34:F37"/>
    <mergeCell ref="F29:F33"/>
    <mergeCell ref="H34:H37"/>
    <mergeCell ref="H38:H42"/>
    <mergeCell ref="H43:H47"/>
    <mergeCell ref="I29:I37"/>
    <mergeCell ref="H8:H12"/>
    <mergeCell ref="H13:H17"/>
    <mergeCell ref="H18:H22"/>
    <mergeCell ref="H23:H27"/>
    <mergeCell ref="H29:H33"/>
    <mergeCell ref="I8:I12"/>
    <mergeCell ref="I13:I17"/>
    <mergeCell ref="I18:I22"/>
    <mergeCell ref="I23:I27"/>
    <mergeCell ref="A6:C6"/>
    <mergeCell ref="E8:E12"/>
    <mergeCell ref="E13:E17"/>
    <mergeCell ref="E18:E22"/>
    <mergeCell ref="E48:E53"/>
    <mergeCell ref="E23:E27"/>
    <mergeCell ref="E29:E33"/>
    <mergeCell ref="E34:E37"/>
    <mergeCell ref="E38:E42"/>
    <mergeCell ref="E43:E47"/>
    <mergeCell ref="E54:E58"/>
    <mergeCell ref="E59:E63"/>
    <mergeCell ref="E65:E69"/>
    <mergeCell ref="E70:E74"/>
    <mergeCell ref="E75:E80"/>
    <mergeCell ref="A118:C118"/>
    <mergeCell ref="A119:C119"/>
    <mergeCell ref="E113:E117"/>
    <mergeCell ref="E81:E85"/>
    <mergeCell ref="E86:E90"/>
    <mergeCell ref="E91:E96"/>
    <mergeCell ref="E97:E101"/>
    <mergeCell ref="E102:E106"/>
    <mergeCell ref="E108:E112"/>
  </mergeCells>
  <phoneticPr fontId="31" type="noConversion"/>
  <dataValidations count="3">
    <dataValidation type="list" allowBlank="1" showInputMessage="1" showErrorMessage="1" sqref="G8:H27" xr:uid="{00000000-0002-0000-0200-000000000000}">
      <formula1>$R$316:$R$318</formula1>
    </dataValidation>
    <dataValidation type="list" allowBlank="1" showInputMessage="1" showErrorMessage="1" sqref="G29:H33 G108:H117 G102:H106 G65:H69 G43:H47" xr:uid="{00000000-0002-0000-0200-000001000000}">
      <formula1>$R$325:$R$329</formula1>
    </dataValidation>
    <dataValidation type="list" allowBlank="1" showInputMessage="1" showErrorMessage="1" sqref="G70:H101 G34:H42 G48:H63" xr:uid="{00000000-0002-0000-0200-000002000000}">
      <formula1>$R$320:$R$323</formula1>
    </dataValidation>
  </dataValidations>
  <pageMargins left="0.78740157480314965" right="0.55118110236220474" top="0.51181102362204722" bottom="0.74803149606299213" header="0.31496062992125984" footer="0.31496062992125984"/>
  <pageSetup paperSize="9" orientation="portrait" r:id="rId1"/>
  <headerFooter>
    <oddFooter>&amp;C&amp;7page &amp;P+11&amp;R&amp;6
ALL RIGHTS RESERVED © COPYRIGHT</oddFooter>
  </headerFooter>
  <rowBreaks count="4" manualBreakCount="4">
    <brk id="37" max="4" man="1"/>
    <brk id="63" max="4" man="1"/>
    <brk id="90" max="16383" man="1"/>
    <brk id="112" max="4"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V1017"/>
  <sheetViews>
    <sheetView view="pageBreakPreview" zoomScaleNormal="100" zoomScaleSheetLayoutView="100" zoomScalePageLayoutView="55" workbookViewId="0">
      <selection activeCell="C14" sqref="C14"/>
    </sheetView>
  </sheetViews>
  <sheetFormatPr defaultColWidth="9" defaultRowHeight="13.5" thickBottom="1"/>
  <cols>
    <col min="1" max="1" width="8.7109375" style="246" customWidth="1"/>
    <col min="2" max="2" width="1.28515625" style="244" customWidth="1"/>
    <col min="3" max="3" width="62.7109375" customWidth="1"/>
    <col min="4" max="4" width="1.28515625" customWidth="1"/>
    <col min="5" max="8" width="3.7109375" customWidth="1"/>
    <col min="9" max="20" width="6" customWidth="1"/>
    <col min="21" max="21" width="33.28515625" style="241" customWidth="1"/>
    <col min="22" max="22" width="9" style="16" customWidth="1"/>
    <col min="23" max="23" width="10.5703125" style="16" customWidth="1"/>
    <col min="24" max="24" width="11.42578125" customWidth="1"/>
    <col min="25" max="25" width="27.28515625" customWidth="1"/>
    <col min="26" max="26" width="11.7109375" customWidth="1"/>
    <col min="27" max="27" width="10.42578125" customWidth="1"/>
    <col min="29" max="29" width="9" hidden="1" customWidth="1"/>
    <col min="32" max="32" width="9" customWidth="1"/>
    <col min="33" max="33" width="72.5703125" customWidth="1"/>
    <col min="37" max="37" width="10" customWidth="1"/>
  </cols>
  <sheetData>
    <row r="1" spans="1:29" ht="12.75" customHeight="1">
      <c r="A1" s="393"/>
      <c r="B1" s="393"/>
      <c r="C1" s="391"/>
      <c r="D1" s="391"/>
      <c r="E1" s="391"/>
      <c r="F1" s="391"/>
      <c r="G1" s="391"/>
      <c r="H1" s="391"/>
      <c r="I1" s="253" t="s">
        <v>600</v>
      </c>
      <c r="J1" s="16"/>
      <c r="K1" s="16"/>
      <c r="L1" s="16"/>
      <c r="M1" s="16"/>
      <c r="N1" s="16"/>
      <c r="O1" s="16"/>
      <c r="P1" s="16"/>
      <c r="Q1" s="16"/>
      <c r="R1" s="16"/>
      <c r="S1" s="16"/>
      <c r="T1" s="16"/>
      <c r="U1" s="16"/>
      <c r="X1" s="94" t="s">
        <v>431</v>
      </c>
      <c r="Y1" s="95" t="s">
        <v>55</v>
      </c>
      <c r="Z1" s="95" t="s">
        <v>432</v>
      </c>
      <c r="AA1" s="96" t="s">
        <v>32</v>
      </c>
      <c r="AB1" s="16"/>
      <c r="AC1" s="75">
        <v>13</v>
      </c>
    </row>
    <row r="2" spans="1:29" ht="12.75" customHeight="1">
      <c r="A2" s="393"/>
      <c r="B2" s="393"/>
      <c r="C2" s="391"/>
      <c r="D2" s="392"/>
      <c r="E2" s="392"/>
      <c r="F2" s="392"/>
      <c r="G2" s="392"/>
      <c r="H2" s="392" t="str">
        <f>'Project Summary'!C6</f>
        <v>2123-123XX(x)</v>
      </c>
      <c r="I2" s="16"/>
      <c r="J2" s="16"/>
      <c r="K2" s="16"/>
      <c r="L2" s="64"/>
      <c r="M2" s="16"/>
      <c r="N2" s="16"/>
      <c r="O2" s="16"/>
      <c r="P2" s="64"/>
      <c r="Q2" s="16"/>
      <c r="R2" s="16"/>
      <c r="S2" s="16"/>
      <c r="T2" s="64"/>
      <c r="U2" s="64"/>
      <c r="X2" s="97" t="s">
        <v>33</v>
      </c>
      <c r="Y2" s="247"/>
      <c r="Z2" s="248"/>
      <c r="AA2" s="99" t="e">
        <f>Z2/$Z$6</f>
        <v>#DIV/0!</v>
      </c>
      <c r="AB2" s="16"/>
      <c r="AC2" s="75">
        <v>20</v>
      </c>
    </row>
    <row r="3" spans="1:29" ht="12.75" customHeight="1">
      <c r="A3" s="391"/>
      <c r="B3" s="391"/>
      <c r="C3" s="391"/>
      <c r="D3" s="392"/>
      <c r="E3" s="392"/>
      <c r="F3" s="392"/>
      <c r="G3" s="392"/>
      <c r="H3" s="392" t="str">
        <f>"BEAM Plus " &amp; 'Project Summary'!C9 &amp; " Report For"</f>
        <v>BEAM Plus Provisional Assessment Report For</v>
      </c>
      <c r="I3" s="16"/>
      <c r="J3" s="16"/>
      <c r="K3" s="16"/>
      <c r="L3" s="64"/>
      <c r="M3" s="16"/>
      <c r="N3" s="16"/>
      <c r="O3" s="16"/>
      <c r="P3" s="64"/>
      <c r="Q3" s="16"/>
      <c r="R3" s="16"/>
      <c r="S3" s="16"/>
      <c r="T3" s="64"/>
      <c r="U3" s="64"/>
      <c r="X3" s="97" t="s">
        <v>34</v>
      </c>
      <c r="Y3" s="247" t="s">
        <v>2</v>
      </c>
      <c r="Z3" s="248"/>
      <c r="AA3" s="99" t="e">
        <f>Z3/$Z$6</f>
        <v>#DIV/0!</v>
      </c>
      <c r="AB3" s="16"/>
      <c r="AC3" s="75">
        <v>29</v>
      </c>
    </row>
    <row r="4" spans="1:29" ht="12.75">
      <c r="A4" s="391" t="s">
        <v>371</v>
      </c>
      <c r="B4" s="391"/>
      <c r="C4" s="391"/>
      <c r="D4" s="392"/>
      <c r="E4" s="392"/>
      <c r="F4" s="392"/>
      <c r="G4" s="392"/>
      <c r="H4" s="392" t="str">
        <f>'Project Summary'!C7</f>
        <v>ABC Residential Development</v>
      </c>
      <c r="I4" s="228"/>
      <c r="J4" s="16"/>
      <c r="K4" s="16"/>
      <c r="L4" s="64"/>
      <c r="M4" s="228"/>
      <c r="N4" s="16"/>
      <c r="O4" s="16"/>
      <c r="P4" s="64"/>
      <c r="Q4" s="228"/>
      <c r="R4" s="16"/>
      <c r="S4" s="16"/>
      <c r="T4" s="64"/>
      <c r="U4" s="64"/>
      <c r="X4" s="97" t="s">
        <v>387</v>
      </c>
      <c r="Y4" s="247"/>
      <c r="Z4" s="248"/>
      <c r="AA4" s="99" t="e">
        <f>Z4/$Z$6</f>
        <v>#DIV/0!</v>
      </c>
      <c r="AB4" s="16"/>
      <c r="AC4" s="75">
        <v>37</v>
      </c>
    </row>
    <row r="5" spans="1:29" thickBot="1">
      <c r="A5" s="176"/>
      <c r="B5" s="176"/>
      <c r="C5" s="176"/>
      <c r="D5" s="176"/>
      <c r="E5" s="177"/>
      <c r="F5" s="176"/>
      <c r="G5" s="176"/>
      <c r="H5" s="176"/>
      <c r="I5" s="67"/>
      <c r="J5" s="16"/>
      <c r="K5" s="16"/>
      <c r="L5" s="16"/>
      <c r="M5" s="67"/>
      <c r="N5" s="16"/>
      <c r="O5" s="16"/>
      <c r="P5" s="16"/>
      <c r="Q5" s="67"/>
      <c r="R5" s="16"/>
      <c r="S5" s="16"/>
      <c r="T5" s="16"/>
      <c r="U5"/>
      <c r="X5" s="98" t="s">
        <v>388</v>
      </c>
      <c r="Y5" s="247"/>
      <c r="Z5" s="248"/>
      <c r="AA5" s="229" t="e">
        <f>Z5/$Z$6</f>
        <v>#DIV/0!</v>
      </c>
      <c r="AB5" s="16"/>
      <c r="AC5" s="75">
        <v>45</v>
      </c>
    </row>
    <row r="6" spans="1:29" ht="15.75" customHeight="1" thickBot="1">
      <c r="A6" s="578" t="s">
        <v>111</v>
      </c>
      <c r="B6" s="579"/>
      <c r="C6" s="579"/>
      <c r="D6" s="580"/>
      <c r="E6" s="545" t="s">
        <v>172</v>
      </c>
      <c r="F6" s="546"/>
      <c r="G6" s="546"/>
      <c r="H6" s="547"/>
      <c r="I6" s="546" t="s">
        <v>56</v>
      </c>
      <c r="J6" s="546"/>
      <c r="K6" s="546"/>
      <c r="L6" s="559"/>
      <c r="M6" s="545" t="s">
        <v>660</v>
      </c>
      <c r="N6" s="546"/>
      <c r="O6" s="546"/>
      <c r="P6" s="546"/>
      <c r="Q6" s="545" t="s">
        <v>57</v>
      </c>
      <c r="R6" s="546"/>
      <c r="S6" s="546"/>
      <c r="T6" s="546"/>
      <c r="U6" s="572" t="s">
        <v>422</v>
      </c>
      <c r="V6" s="600" t="s">
        <v>459</v>
      </c>
      <c r="W6" s="600" t="s">
        <v>461</v>
      </c>
      <c r="X6" s="16"/>
      <c r="Y6" s="398" t="s">
        <v>35</v>
      </c>
      <c r="Z6" s="399">
        <f>SUM(Z2:Z5)</f>
        <v>0</v>
      </c>
      <c r="AA6" s="16"/>
      <c r="AB6" s="16"/>
      <c r="AC6" s="75">
        <v>53</v>
      </c>
    </row>
    <row r="7" spans="1:29" ht="30" customHeight="1">
      <c r="A7" s="581"/>
      <c r="B7" s="582"/>
      <c r="C7" s="582"/>
      <c r="D7" s="583"/>
      <c r="E7" s="548" t="s">
        <v>246</v>
      </c>
      <c r="F7" s="549"/>
      <c r="G7" s="549"/>
      <c r="H7" s="550"/>
      <c r="I7" s="549" t="s">
        <v>246</v>
      </c>
      <c r="J7" s="549"/>
      <c r="K7" s="549"/>
      <c r="L7" s="560"/>
      <c r="M7" s="548" t="s">
        <v>246</v>
      </c>
      <c r="N7" s="549"/>
      <c r="O7" s="549"/>
      <c r="P7" s="549"/>
      <c r="Q7" s="548" t="s">
        <v>246</v>
      </c>
      <c r="R7" s="549"/>
      <c r="S7" s="549"/>
      <c r="T7" s="549"/>
      <c r="U7" s="572"/>
      <c r="V7" s="600"/>
      <c r="W7" s="600"/>
      <c r="X7" s="16"/>
      <c r="Y7" s="16"/>
      <c r="Z7" s="16"/>
      <c r="AA7" s="16"/>
      <c r="AB7" s="16"/>
      <c r="AC7" s="75">
        <v>61</v>
      </c>
    </row>
    <row r="8" spans="1:29" ht="15">
      <c r="A8" s="581"/>
      <c r="B8" s="582"/>
      <c r="C8" s="582"/>
      <c r="D8" s="583"/>
      <c r="E8" s="171" t="s">
        <v>33</v>
      </c>
      <c r="F8" s="171" t="s">
        <v>34</v>
      </c>
      <c r="G8" s="171" t="s">
        <v>387</v>
      </c>
      <c r="H8" s="347" t="s">
        <v>388</v>
      </c>
      <c r="I8" s="322" t="s">
        <v>33</v>
      </c>
      <c r="J8" s="230" t="s">
        <v>34</v>
      </c>
      <c r="K8" s="231" t="s">
        <v>387</v>
      </c>
      <c r="L8" s="232" t="s">
        <v>388</v>
      </c>
      <c r="M8" s="172" t="s">
        <v>33</v>
      </c>
      <c r="N8" s="230" t="s">
        <v>34</v>
      </c>
      <c r="O8" s="231" t="s">
        <v>387</v>
      </c>
      <c r="P8" s="93" t="s">
        <v>388</v>
      </c>
      <c r="Q8" s="172" t="s">
        <v>33</v>
      </c>
      <c r="R8" s="230" t="s">
        <v>34</v>
      </c>
      <c r="S8" s="231" t="s">
        <v>387</v>
      </c>
      <c r="T8" s="93" t="s">
        <v>388</v>
      </c>
      <c r="U8" s="572"/>
      <c r="V8" s="601"/>
      <c r="W8" s="601"/>
      <c r="X8" s="16"/>
      <c r="Y8" s="16"/>
      <c r="Z8" s="16"/>
      <c r="AA8" s="16"/>
      <c r="AB8" s="16"/>
      <c r="AC8" s="75">
        <v>70</v>
      </c>
    </row>
    <row r="9" spans="1:29" ht="22.5" customHeight="1">
      <c r="A9" s="348" t="s">
        <v>12</v>
      </c>
      <c r="B9" s="126"/>
      <c r="C9" s="128" t="s">
        <v>67</v>
      </c>
      <c r="D9" s="349"/>
      <c r="E9" s="505"/>
      <c r="F9" s="505"/>
      <c r="G9" s="505"/>
      <c r="H9" s="505"/>
      <c r="I9" s="570"/>
      <c r="J9" s="570"/>
      <c r="K9" s="570"/>
      <c r="L9" s="570"/>
      <c r="M9" s="570"/>
      <c r="N9" s="570"/>
      <c r="O9" s="570"/>
      <c r="P9" s="570"/>
      <c r="Q9" s="570"/>
      <c r="R9" s="570"/>
      <c r="S9" s="570"/>
      <c r="T9" s="570"/>
      <c r="U9" s="571"/>
      <c r="V9" s="300"/>
      <c r="W9" s="302"/>
      <c r="X9" s="16"/>
      <c r="Y9" s="16"/>
      <c r="Z9" s="16"/>
      <c r="AA9" s="16"/>
      <c r="AB9" s="16"/>
      <c r="AC9" s="75">
        <v>79</v>
      </c>
    </row>
    <row r="10" spans="1:29" ht="22.5" customHeight="1">
      <c r="A10" s="350" t="s">
        <v>85</v>
      </c>
      <c r="B10" s="139"/>
      <c r="C10" s="161" t="s">
        <v>247</v>
      </c>
      <c r="D10" s="351"/>
      <c r="E10" s="500" t="str">
        <f>Q10</f>
        <v>Insert No. of Credit(s) Here</v>
      </c>
      <c r="F10" s="500"/>
      <c r="G10" s="500"/>
      <c r="H10" s="500"/>
      <c r="I10" s="561" t="s">
        <v>10</v>
      </c>
      <c r="J10" s="562"/>
      <c r="K10" s="562"/>
      <c r="L10" s="563"/>
      <c r="M10" s="591" t="s">
        <v>435</v>
      </c>
      <c r="N10" s="592"/>
      <c r="O10" s="592"/>
      <c r="P10" s="593"/>
      <c r="Q10" s="591" t="s">
        <v>435</v>
      </c>
      <c r="R10" s="592"/>
      <c r="S10" s="592"/>
      <c r="T10" s="593"/>
      <c r="U10" s="585"/>
      <c r="V10" s="585" t="str">
        <f>IF(Q10="NA","NA","")</f>
        <v/>
      </c>
      <c r="W10" s="535"/>
      <c r="X10" s="16"/>
      <c r="Y10" s="16"/>
      <c r="Z10" s="16"/>
      <c r="AA10" s="16"/>
      <c r="AB10" s="16"/>
      <c r="AC10" s="75">
        <v>86</v>
      </c>
    </row>
    <row r="11" spans="1:29" ht="22.5" customHeight="1">
      <c r="A11" s="352"/>
      <c r="B11" s="59"/>
      <c r="C11" s="82" t="s">
        <v>468</v>
      </c>
      <c r="D11" s="92"/>
      <c r="E11" s="500"/>
      <c r="F11" s="500"/>
      <c r="G11" s="500"/>
      <c r="H11" s="500"/>
      <c r="I11" s="564"/>
      <c r="J11" s="565"/>
      <c r="K11" s="565"/>
      <c r="L11" s="566"/>
      <c r="M11" s="594"/>
      <c r="N11" s="595"/>
      <c r="O11" s="595"/>
      <c r="P11" s="596"/>
      <c r="Q11" s="594"/>
      <c r="R11" s="595"/>
      <c r="S11" s="595"/>
      <c r="T11" s="596"/>
      <c r="U11" s="533"/>
      <c r="V11" s="533"/>
      <c r="W11" s="509"/>
      <c r="X11" s="16"/>
      <c r="Y11" s="16"/>
      <c r="Z11" s="16"/>
      <c r="AA11" s="16"/>
      <c r="AB11" s="16"/>
      <c r="AC11" s="75">
        <v>91</v>
      </c>
    </row>
    <row r="12" spans="1:29" ht="12.75">
      <c r="A12" s="352"/>
      <c r="B12" s="59"/>
      <c r="C12" s="60"/>
      <c r="D12" s="92"/>
      <c r="E12" s="500"/>
      <c r="F12" s="500"/>
      <c r="G12" s="500"/>
      <c r="H12" s="500"/>
      <c r="I12" s="564"/>
      <c r="J12" s="565"/>
      <c r="K12" s="565"/>
      <c r="L12" s="566"/>
      <c r="M12" s="594"/>
      <c r="N12" s="595"/>
      <c r="O12" s="595"/>
      <c r="P12" s="596"/>
      <c r="Q12" s="594"/>
      <c r="R12" s="595"/>
      <c r="S12" s="595"/>
      <c r="T12" s="596"/>
      <c r="U12" s="533"/>
      <c r="V12" s="533"/>
      <c r="W12" s="509"/>
      <c r="X12" s="16"/>
      <c r="Y12" s="16"/>
      <c r="Z12" s="16"/>
      <c r="AA12" s="16"/>
      <c r="AB12" s="16"/>
      <c r="AC12" s="75">
        <v>99</v>
      </c>
    </row>
    <row r="13" spans="1:29" ht="12.75">
      <c r="A13" s="352"/>
      <c r="B13" s="59"/>
      <c r="C13" s="224" t="s">
        <v>430</v>
      </c>
      <c r="D13" s="92"/>
      <c r="E13" s="500"/>
      <c r="F13" s="500"/>
      <c r="G13" s="500"/>
      <c r="H13" s="500"/>
      <c r="I13" s="564"/>
      <c r="J13" s="565"/>
      <c r="K13" s="565"/>
      <c r="L13" s="566"/>
      <c r="M13" s="594"/>
      <c r="N13" s="595"/>
      <c r="O13" s="595"/>
      <c r="P13" s="596"/>
      <c r="Q13" s="594"/>
      <c r="R13" s="595"/>
      <c r="S13" s="595"/>
      <c r="T13" s="596"/>
      <c r="U13" s="533"/>
      <c r="V13" s="533"/>
      <c r="W13" s="509"/>
      <c r="X13" s="16"/>
      <c r="Y13" s="16"/>
      <c r="Z13" s="16"/>
      <c r="AA13" s="16"/>
      <c r="AB13" s="16"/>
      <c r="AC13" s="75">
        <v>107</v>
      </c>
    </row>
    <row r="14" spans="1:29" ht="30" customHeight="1">
      <c r="A14" s="353"/>
      <c r="B14" s="181"/>
      <c r="C14" s="180" t="str">
        <f>IFERROR(VLOOKUP($E10,$AI:$AJ,2,FALSE),"-")</f>
        <v>-</v>
      </c>
      <c r="D14" s="296"/>
      <c r="E14" s="500"/>
      <c r="F14" s="500"/>
      <c r="G14" s="500"/>
      <c r="H14" s="500"/>
      <c r="I14" s="567"/>
      <c r="J14" s="568"/>
      <c r="K14" s="568"/>
      <c r="L14" s="569"/>
      <c r="M14" s="597"/>
      <c r="N14" s="598"/>
      <c r="O14" s="598"/>
      <c r="P14" s="599"/>
      <c r="Q14" s="597"/>
      <c r="R14" s="598"/>
      <c r="S14" s="598"/>
      <c r="T14" s="599"/>
      <c r="U14" s="584"/>
      <c r="V14" s="584"/>
      <c r="W14" s="510"/>
      <c r="X14" s="16"/>
      <c r="Y14" s="16"/>
      <c r="Z14" s="16"/>
      <c r="AA14" s="16"/>
      <c r="AB14" s="16"/>
      <c r="AC14" s="75">
        <v>116</v>
      </c>
    </row>
    <row r="15" spans="1:29" ht="22.5" customHeight="1">
      <c r="A15" s="348">
        <v>4.0999999999999996</v>
      </c>
      <c r="B15" s="126"/>
      <c r="C15" s="128" t="s">
        <v>86</v>
      </c>
      <c r="D15" s="349"/>
      <c r="E15" s="500"/>
      <c r="F15" s="500"/>
      <c r="G15" s="500"/>
      <c r="H15" s="500"/>
      <c r="I15" s="225"/>
      <c r="J15" s="226"/>
      <c r="K15" s="226"/>
      <c r="L15" s="226"/>
      <c r="M15" s="226"/>
      <c r="N15" s="226"/>
      <c r="O15" s="226"/>
      <c r="P15" s="226"/>
      <c r="Q15" s="226"/>
      <c r="R15" s="226"/>
      <c r="S15" s="226"/>
      <c r="T15" s="226"/>
      <c r="U15" s="233"/>
      <c r="V15" s="233"/>
      <c r="W15" s="303"/>
      <c r="X15" s="16"/>
      <c r="Y15" s="16"/>
      <c r="Z15" s="16"/>
      <c r="AA15" s="16"/>
      <c r="AB15" s="16"/>
      <c r="AC15" s="75">
        <v>124</v>
      </c>
    </row>
    <row r="16" spans="1:29" ht="22.5" customHeight="1">
      <c r="A16" s="350" t="s">
        <v>87</v>
      </c>
      <c r="B16" s="139"/>
      <c r="C16" s="161" t="s">
        <v>249</v>
      </c>
      <c r="D16" s="351"/>
      <c r="E16" s="544">
        <f>IF(Q16&lt;&gt;"",Q16,"")</f>
        <v>15</v>
      </c>
      <c r="F16" s="544" t="str">
        <f>IF(R16&lt;&gt;"",R16,"")</f>
        <v/>
      </c>
      <c r="G16" s="544" t="str">
        <f>IF(S16&lt;&gt;"",S16,"")</f>
        <v/>
      </c>
      <c r="H16" s="544" t="str">
        <f>IF(T16&lt;&gt;"",T16,"")</f>
        <v/>
      </c>
      <c r="I16" s="506">
        <f>IF(Q16="NA","NA",IF(AND(Q16&lt;&gt;"",OR(Q16="NS",Q16&gt;=0)),15,"-"))</f>
        <v>15</v>
      </c>
      <c r="J16" s="506" t="str">
        <f>IF(R16="NA","NA",IF(AND(R16&lt;&gt;"",OR(R16="NS",R16&gt;=0)),15,"-"))</f>
        <v>-</v>
      </c>
      <c r="K16" s="506" t="str">
        <f>IF(S16="NA","NA",IF(AND(S16&lt;&gt;"",OR(S16="NS",S16&gt;=0)),15,"-"))</f>
        <v>-</v>
      </c>
      <c r="L16" s="506" t="str">
        <f>IF(T16="NA","NA",IF(AND(T16&lt;&gt;"",OR(T16="NS",T16&gt;=0)),15,"-"))</f>
        <v>-</v>
      </c>
      <c r="M16" s="540"/>
      <c r="N16" s="558"/>
      <c r="O16" s="573"/>
      <c r="P16" s="530"/>
      <c r="Q16" s="540">
        <v>15</v>
      </c>
      <c r="R16" s="558"/>
      <c r="S16" s="573"/>
      <c r="T16" s="530"/>
      <c r="U16" s="585"/>
      <c r="V16" s="585" t="str">
        <f>IF(COUNTIF(Q16:T24,"NA")/COUNTA(Q16:T24)=1,"NA","")</f>
        <v/>
      </c>
      <c r="W16" s="535" t="str">
        <f>IF(COUNTIF(Q16:T24,0)&gt;0,0,"")</f>
        <v/>
      </c>
      <c r="X16" s="16"/>
      <c r="Y16" s="16"/>
      <c r="Z16" s="16"/>
      <c r="AA16" s="16"/>
      <c r="AB16" s="16"/>
      <c r="AC16" s="75">
        <v>132</v>
      </c>
    </row>
    <row r="17" spans="1:29" ht="25.5" customHeight="1">
      <c r="A17" s="354"/>
      <c r="B17" s="82"/>
      <c r="C17" s="249" t="s">
        <v>608</v>
      </c>
      <c r="D17" s="92"/>
      <c r="E17" s="544"/>
      <c r="F17" s="544"/>
      <c r="G17" s="544"/>
      <c r="H17" s="544"/>
      <c r="I17" s="506"/>
      <c r="J17" s="506"/>
      <c r="K17" s="506"/>
      <c r="L17" s="506"/>
      <c r="M17" s="540"/>
      <c r="N17" s="558"/>
      <c r="O17" s="573"/>
      <c r="P17" s="530"/>
      <c r="Q17" s="540"/>
      <c r="R17" s="558"/>
      <c r="S17" s="573"/>
      <c r="T17" s="530"/>
      <c r="U17" s="533"/>
      <c r="V17" s="533"/>
      <c r="W17" s="509"/>
      <c r="X17" s="16"/>
      <c r="Y17" s="16"/>
      <c r="Z17" s="16"/>
      <c r="AA17" s="16"/>
      <c r="AB17" s="16"/>
      <c r="AC17" s="75">
        <v>142</v>
      </c>
    </row>
    <row r="18" spans="1:29" ht="191.25" customHeight="1">
      <c r="A18" s="383" t="s">
        <v>248</v>
      </c>
      <c r="B18" s="61"/>
      <c r="C18" s="85" t="str">
        <f>IFERROR(VLOOKUP(C17,$AG:$AH,2,FALSE),"-")</f>
        <v>1 credit for a reduction in the annual energy consumption by 3 %
2 credits for a reduction in the annual energy consumption by 4 %
3 credits for a reduction in the annual energy consumption by 5 %
4 credits for a reduction in the annual energy consumption by 6 %
5 credits for a reduction in the annual energy consumption by 7 %
6 credits for a reduction in the annual energy consumption by 9 %
7 credits for a reduction in the annual energy consumption by 11 %
8 credits for a reduction in the annual energy consumption by 13 %
9 credits for a reduction in the annual energy consumption by 15 %
10 credits for a reduction in the annual energy consumption by 17 %
11 credits for a reduction in the annual energy consumption by 19 %
12 credits for a reduction in the annual energy consumption by 21 %
13 credits for a reduction in the annual energy consumption by 24 %
14 credits for a reduction in the annual energy consumption by 27 %
15 credits for a reduction in the annual energy consumption by 30 %</v>
      </c>
      <c r="D18" s="92"/>
      <c r="E18" s="544"/>
      <c r="F18" s="544"/>
      <c r="G18" s="544"/>
      <c r="H18" s="544"/>
      <c r="I18" s="506"/>
      <c r="J18" s="506"/>
      <c r="K18" s="506"/>
      <c r="L18" s="506"/>
      <c r="M18" s="540"/>
      <c r="N18" s="558"/>
      <c r="O18" s="573"/>
      <c r="P18" s="530"/>
      <c r="Q18" s="540"/>
      <c r="R18" s="558"/>
      <c r="S18" s="573"/>
      <c r="T18" s="530"/>
      <c r="U18" s="533"/>
      <c r="V18" s="533"/>
      <c r="W18" s="509"/>
      <c r="X18" s="16"/>
      <c r="Y18" s="16"/>
      <c r="Z18" s="16"/>
      <c r="AA18" s="16"/>
      <c r="AB18" s="16"/>
      <c r="AC18" s="75">
        <v>150</v>
      </c>
    </row>
    <row r="19" spans="1:29" ht="12.75" customHeight="1">
      <c r="A19" s="356"/>
      <c r="B19" s="61"/>
      <c r="C19" s="85"/>
      <c r="D19" s="92"/>
      <c r="E19" s="544"/>
      <c r="F19" s="544"/>
      <c r="G19" s="544"/>
      <c r="H19" s="544"/>
      <c r="I19" s="506"/>
      <c r="J19" s="506"/>
      <c r="K19" s="506"/>
      <c r="L19" s="506"/>
      <c r="M19" s="540"/>
      <c r="N19" s="558"/>
      <c r="O19" s="573"/>
      <c r="P19" s="530"/>
      <c r="Q19" s="540"/>
      <c r="R19" s="558"/>
      <c r="S19" s="573"/>
      <c r="T19" s="530"/>
      <c r="U19" s="533"/>
      <c r="V19" s="533"/>
      <c r="W19" s="509"/>
      <c r="X19" s="16"/>
      <c r="Y19" s="16"/>
      <c r="Z19" s="16"/>
      <c r="AA19" s="16"/>
      <c r="AB19" s="16"/>
      <c r="AC19" s="75">
        <v>158</v>
      </c>
    </row>
    <row r="20" spans="1:29" ht="12.75">
      <c r="A20" s="356"/>
      <c r="B20" s="61"/>
      <c r="C20" s="224" t="s">
        <v>430</v>
      </c>
      <c r="D20" s="92"/>
      <c r="E20" s="544"/>
      <c r="F20" s="544"/>
      <c r="G20" s="544"/>
      <c r="H20" s="544"/>
      <c r="I20" s="506"/>
      <c r="J20" s="506"/>
      <c r="K20" s="506"/>
      <c r="L20" s="506"/>
      <c r="M20" s="540"/>
      <c r="N20" s="558"/>
      <c r="O20" s="573"/>
      <c r="P20" s="530"/>
      <c r="Q20" s="540"/>
      <c r="R20" s="558"/>
      <c r="S20" s="573"/>
      <c r="T20" s="530"/>
      <c r="U20" s="533"/>
      <c r="V20" s="533"/>
      <c r="W20" s="509"/>
      <c r="X20" s="16"/>
      <c r="Y20" s="16"/>
      <c r="Z20" s="16"/>
      <c r="AA20" s="16"/>
      <c r="AB20" s="16"/>
      <c r="AC20" s="75">
        <v>166</v>
      </c>
    </row>
    <row r="21" spans="1:29" ht="30" customHeight="1">
      <c r="A21" s="356"/>
      <c r="B21" s="61"/>
      <c r="C21" s="65" t="str">
        <f>"Category A   " &amp; IFERROR(VLOOKUP(E$16,$AF:$AG,2,FALSE),"")</f>
        <v>Category A   15 credits are achieved in the Provisional Assessment.</v>
      </c>
      <c r="D21" s="92"/>
      <c r="E21" s="544"/>
      <c r="F21" s="544"/>
      <c r="G21" s="544"/>
      <c r="H21" s="544"/>
      <c r="I21" s="506"/>
      <c r="J21" s="506"/>
      <c r="K21" s="506"/>
      <c r="L21" s="506"/>
      <c r="M21" s="540"/>
      <c r="N21" s="558"/>
      <c r="O21" s="573"/>
      <c r="P21" s="530"/>
      <c r="Q21" s="540"/>
      <c r="R21" s="558"/>
      <c r="S21" s="573"/>
      <c r="T21" s="530"/>
      <c r="U21" s="533"/>
      <c r="V21" s="533"/>
      <c r="W21" s="509"/>
      <c r="X21" s="16"/>
      <c r="Y21" s="16"/>
      <c r="Z21" s="16"/>
      <c r="AA21" s="16"/>
      <c r="AB21" s="16"/>
      <c r="AC21" s="75">
        <v>174</v>
      </c>
    </row>
    <row r="22" spans="1:29" ht="30" customHeight="1">
      <c r="A22" s="356"/>
      <c r="B22" s="61"/>
      <c r="C22" s="65" t="str">
        <f>"Category B   " &amp; IFERROR(VLOOKUP(F$16,$AF:$AG,2,FALSE),"")</f>
        <v xml:space="preserve">Category B   </v>
      </c>
      <c r="D22" s="92"/>
      <c r="E22" s="544"/>
      <c r="F22" s="544"/>
      <c r="G22" s="544"/>
      <c r="H22" s="544"/>
      <c r="I22" s="506"/>
      <c r="J22" s="506"/>
      <c r="K22" s="506"/>
      <c r="L22" s="506"/>
      <c r="M22" s="540"/>
      <c r="N22" s="558"/>
      <c r="O22" s="573"/>
      <c r="P22" s="530"/>
      <c r="Q22" s="540"/>
      <c r="R22" s="558"/>
      <c r="S22" s="573"/>
      <c r="T22" s="530"/>
      <c r="U22" s="533"/>
      <c r="V22" s="533"/>
      <c r="W22" s="509"/>
      <c r="X22" s="16"/>
      <c r="Y22" s="16"/>
      <c r="Z22" s="16"/>
      <c r="AA22" s="16"/>
      <c r="AB22" s="16"/>
      <c r="AC22" s="75">
        <v>204</v>
      </c>
    </row>
    <row r="23" spans="1:29" ht="30" customHeight="1">
      <c r="A23" s="356"/>
      <c r="B23" s="61"/>
      <c r="C23" s="65" t="str">
        <f>"Category C   " &amp; IFERROR(VLOOKUP(G$16,$AF:$AG,2,FALSE),"")</f>
        <v xml:space="preserve">Category C   </v>
      </c>
      <c r="D23" s="92"/>
      <c r="E23" s="544"/>
      <c r="F23" s="544"/>
      <c r="G23" s="544"/>
      <c r="H23" s="544"/>
      <c r="I23" s="506"/>
      <c r="J23" s="506"/>
      <c r="K23" s="506"/>
      <c r="L23" s="506"/>
      <c r="M23" s="540"/>
      <c r="N23" s="558"/>
      <c r="O23" s="573"/>
      <c r="P23" s="530"/>
      <c r="Q23" s="540"/>
      <c r="R23" s="558"/>
      <c r="S23" s="573"/>
      <c r="T23" s="530"/>
      <c r="U23" s="533"/>
      <c r="V23" s="533"/>
      <c r="W23" s="509"/>
      <c r="X23" s="16"/>
      <c r="Y23" s="16"/>
      <c r="Z23" s="16"/>
      <c r="AA23" s="16"/>
      <c r="AB23" s="16"/>
      <c r="AC23" s="75">
        <v>214</v>
      </c>
    </row>
    <row r="24" spans="1:29" ht="30" customHeight="1">
      <c r="A24" s="357"/>
      <c r="B24" s="203"/>
      <c r="C24" s="193" t="str">
        <f>"Category D   " &amp; IFERROR(VLOOKUP(H$16,$AF:$AG,2,FALSE),"")</f>
        <v xml:space="preserve">Category D   </v>
      </c>
      <c r="D24" s="296"/>
      <c r="E24" s="544"/>
      <c r="F24" s="544"/>
      <c r="G24" s="544"/>
      <c r="H24" s="544"/>
      <c r="I24" s="506"/>
      <c r="J24" s="506"/>
      <c r="K24" s="506"/>
      <c r="L24" s="506"/>
      <c r="M24" s="540"/>
      <c r="N24" s="558"/>
      <c r="O24" s="573"/>
      <c r="P24" s="530"/>
      <c r="Q24" s="540"/>
      <c r="R24" s="558"/>
      <c r="S24" s="573"/>
      <c r="T24" s="530"/>
      <c r="U24" s="534"/>
      <c r="V24" s="534"/>
      <c r="W24" s="529"/>
      <c r="X24" s="16"/>
      <c r="Y24" s="16"/>
      <c r="Z24" s="16"/>
      <c r="AA24" s="16"/>
      <c r="AB24" s="16"/>
      <c r="AC24" s="16"/>
    </row>
    <row r="25" spans="1:29" ht="22.5" customHeight="1">
      <c r="A25" s="350" t="s">
        <v>87</v>
      </c>
      <c r="B25" s="139"/>
      <c r="C25" s="161" t="s">
        <v>503</v>
      </c>
      <c r="D25" s="351"/>
      <c r="E25" s="544" t="str">
        <f>IF(Q25&lt;&gt;"",Q25,"")</f>
        <v/>
      </c>
      <c r="F25" s="544" t="str">
        <f>IF(R25&lt;&gt;"",R25,"")</f>
        <v/>
      </c>
      <c r="G25" s="544" t="str">
        <f>IF(S25&lt;&gt;"",S25,"")</f>
        <v/>
      </c>
      <c r="H25" s="544" t="str">
        <f>IF(T25&lt;&gt;"",T25,"")</f>
        <v/>
      </c>
      <c r="I25" s="506" t="str">
        <f>IF(Q25="NA","NA",IF(AND(Q25&lt;&gt;"",OR(Q25="NS",Q25&gt;=0)),3,"-"))</f>
        <v>-</v>
      </c>
      <c r="J25" s="506" t="str">
        <f>IF(R25="NA","NA",IF(AND(R25&lt;&gt;"",OR(R25="NS",R25&gt;=0)),3,"-"))</f>
        <v>-</v>
      </c>
      <c r="K25" s="506" t="str">
        <f>IF(S25="NA","NA",IF(AND(S25&lt;&gt;"",OR(S25="NS",S25&gt;=0)),3,"-"))</f>
        <v>-</v>
      </c>
      <c r="L25" s="506" t="str">
        <f>IF(T25="NA","NA",IF(AND(T25&lt;&gt;"",OR(T25="NS",T25&gt;=0)),3,"-"))</f>
        <v>-</v>
      </c>
      <c r="M25" s="540"/>
      <c r="N25" s="558"/>
      <c r="O25" s="573"/>
      <c r="P25" s="530"/>
      <c r="Q25" s="540"/>
      <c r="R25" s="558"/>
      <c r="S25" s="573"/>
      <c r="T25" s="530"/>
      <c r="U25" s="531" t="s">
        <v>39</v>
      </c>
      <c r="V25" s="535" t="e">
        <f>IF(COUNTIF(Q25:T33,"NA")/COUNTA(Q25:T33)=1,"NA","")</f>
        <v>#DIV/0!</v>
      </c>
      <c r="W25" s="535" t="str">
        <f>IF(COUNTIF(Q25:T33,0)&gt;0,0,"")</f>
        <v/>
      </c>
      <c r="X25" s="16"/>
      <c r="Y25" s="16"/>
      <c r="Z25" s="16"/>
      <c r="AA25" s="16"/>
      <c r="AB25" s="16"/>
      <c r="AC25" s="16"/>
    </row>
    <row r="26" spans="1:29" ht="22.5" customHeight="1">
      <c r="A26" s="352" t="s">
        <v>504</v>
      </c>
      <c r="B26" s="59"/>
      <c r="C26" s="86" t="s">
        <v>582</v>
      </c>
      <c r="D26" s="92"/>
      <c r="E26" s="544"/>
      <c r="F26" s="544"/>
      <c r="G26" s="544"/>
      <c r="H26" s="544"/>
      <c r="I26" s="506"/>
      <c r="J26" s="506"/>
      <c r="K26" s="506"/>
      <c r="L26" s="506"/>
      <c r="M26" s="540"/>
      <c r="N26" s="558"/>
      <c r="O26" s="573"/>
      <c r="P26" s="530"/>
      <c r="Q26" s="540"/>
      <c r="R26" s="558"/>
      <c r="S26" s="573"/>
      <c r="T26" s="530"/>
      <c r="U26" s="532"/>
      <c r="V26" s="509"/>
      <c r="W26" s="509"/>
      <c r="X26" s="16"/>
      <c r="Y26" s="16"/>
      <c r="Z26" s="16"/>
      <c r="AA26" s="16"/>
      <c r="AB26" s="16"/>
      <c r="AC26" s="16"/>
    </row>
    <row r="27" spans="1:29" ht="165.75">
      <c r="A27" s="383" t="s">
        <v>250</v>
      </c>
      <c r="B27" s="82"/>
      <c r="C27" s="92" t="s">
        <v>505</v>
      </c>
      <c r="D27" s="92"/>
      <c r="E27" s="544"/>
      <c r="F27" s="544"/>
      <c r="G27" s="544"/>
      <c r="H27" s="544"/>
      <c r="I27" s="506"/>
      <c r="J27" s="506"/>
      <c r="K27" s="506"/>
      <c r="L27" s="506"/>
      <c r="M27" s="540"/>
      <c r="N27" s="558"/>
      <c r="O27" s="573"/>
      <c r="P27" s="530"/>
      <c r="Q27" s="540"/>
      <c r="R27" s="558"/>
      <c r="S27" s="573"/>
      <c r="T27" s="530"/>
      <c r="U27" s="533"/>
      <c r="V27" s="509"/>
      <c r="W27" s="509"/>
      <c r="X27" s="16"/>
      <c r="Y27" s="16"/>
      <c r="Z27" s="16"/>
      <c r="AA27" s="16"/>
      <c r="AB27" s="16"/>
      <c r="AC27" s="16"/>
    </row>
    <row r="28" spans="1:29" ht="12.75">
      <c r="A28" s="355"/>
      <c r="B28" s="60"/>
      <c r="C28" s="85"/>
      <c r="D28" s="92"/>
      <c r="E28" s="544"/>
      <c r="F28" s="544"/>
      <c r="G28" s="544"/>
      <c r="H28" s="544"/>
      <c r="I28" s="506"/>
      <c r="J28" s="506"/>
      <c r="K28" s="506"/>
      <c r="L28" s="506"/>
      <c r="M28" s="540"/>
      <c r="N28" s="558"/>
      <c r="O28" s="573"/>
      <c r="P28" s="530"/>
      <c r="Q28" s="540"/>
      <c r="R28" s="558"/>
      <c r="S28" s="573"/>
      <c r="T28" s="530"/>
      <c r="U28" s="533"/>
      <c r="V28" s="509"/>
      <c r="W28" s="509"/>
      <c r="X28" s="16"/>
      <c r="Y28" s="16"/>
      <c r="Z28" s="16"/>
      <c r="AA28" s="16"/>
      <c r="AB28" s="16"/>
      <c r="AC28" s="16"/>
    </row>
    <row r="29" spans="1:29" ht="12.75">
      <c r="A29" s="355"/>
      <c r="B29" s="82"/>
      <c r="C29" s="224" t="s">
        <v>430</v>
      </c>
      <c r="D29" s="92"/>
      <c r="E29" s="544"/>
      <c r="F29" s="544"/>
      <c r="G29" s="544"/>
      <c r="H29" s="544"/>
      <c r="I29" s="506"/>
      <c r="J29" s="506"/>
      <c r="K29" s="506"/>
      <c r="L29" s="506"/>
      <c r="M29" s="540"/>
      <c r="N29" s="558"/>
      <c r="O29" s="573"/>
      <c r="P29" s="530"/>
      <c r="Q29" s="540"/>
      <c r="R29" s="558"/>
      <c r="S29" s="573"/>
      <c r="T29" s="530"/>
      <c r="U29" s="533"/>
      <c r="V29" s="509"/>
      <c r="W29" s="509"/>
      <c r="X29" s="16"/>
      <c r="Y29" s="16"/>
      <c r="Z29" s="16"/>
      <c r="AA29" s="16"/>
      <c r="AB29" s="16"/>
      <c r="AC29" s="16"/>
    </row>
    <row r="30" spans="1:29" ht="30" customHeight="1">
      <c r="A30" s="355"/>
      <c r="B30" s="82"/>
      <c r="C30" s="65" t="str">
        <f>"Category A   " &amp; IFERROR(VLOOKUP(E$25,$AF:$AG,2,FALSE),"")</f>
        <v xml:space="preserve">Category A   </v>
      </c>
      <c r="D30" s="92"/>
      <c r="E30" s="544"/>
      <c r="F30" s="544"/>
      <c r="G30" s="544"/>
      <c r="H30" s="544"/>
      <c r="I30" s="506"/>
      <c r="J30" s="506"/>
      <c r="K30" s="506"/>
      <c r="L30" s="506"/>
      <c r="M30" s="540"/>
      <c r="N30" s="558"/>
      <c r="O30" s="573"/>
      <c r="P30" s="530"/>
      <c r="Q30" s="540"/>
      <c r="R30" s="558"/>
      <c r="S30" s="573"/>
      <c r="T30" s="530"/>
      <c r="U30" s="533"/>
      <c r="V30" s="509"/>
      <c r="W30" s="509"/>
      <c r="X30" s="16"/>
      <c r="Y30" s="16"/>
      <c r="Z30" s="16"/>
      <c r="AA30" s="16"/>
      <c r="AB30" s="16"/>
      <c r="AC30" s="16"/>
    </row>
    <row r="31" spans="1:29" ht="30" customHeight="1">
      <c r="A31" s="355"/>
      <c r="B31" s="82"/>
      <c r="C31" s="65" t="str">
        <f>"Category B   " &amp; IFERROR(VLOOKUP(F$25,$AF:$AG,2,FALSE),"")</f>
        <v xml:space="preserve">Category B   </v>
      </c>
      <c r="D31" s="92"/>
      <c r="E31" s="544"/>
      <c r="F31" s="544"/>
      <c r="G31" s="544"/>
      <c r="H31" s="544"/>
      <c r="I31" s="506"/>
      <c r="J31" s="506"/>
      <c r="K31" s="506"/>
      <c r="L31" s="506"/>
      <c r="M31" s="540"/>
      <c r="N31" s="558"/>
      <c r="O31" s="573"/>
      <c r="P31" s="530"/>
      <c r="Q31" s="540"/>
      <c r="R31" s="558"/>
      <c r="S31" s="573"/>
      <c r="T31" s="530"/>
      <c r="U31" s="533"/>
      <c r="V31" s="509"/>
      <c r="W31" s="509"/>
      <c r="X31" s="16"/>
      <c r="Y31" s="16"/>
      <c r="Z31" s="16"/>
      <c r="AA31" s="16"/>
      <c r="AB31" s="16"/>
      <c r="AC31" s="16"/>
    </row>
    <row r="32" spans="1:29" ht="30" customHeight="1">
      <c r="A32" s="355"/>
      <c r="B32" s="82"/>
      <c r="C32" s="65" t="str">
        <f>"Category C   " &amp; IFERROR(VLOOKUP(G$25,$AF:$AG,2,FALSE),"")</f>
        <v xml:space="preserve">Category C   </v>
      </c>
      <c r="D32" s="92"/>
      <c r="E32" s="544"/>
      <c r="F32" s="544"/>
      <c r="G32" s="544"/>
      <c r="H32" s="544"/>
      <c r="I32" s="506"/>
      <c r="J32" s="506"/>
      <c r="K32" s="506"/>
      <c r="L32" s="506"/>
      <c r="M32" s="540"/>
      <c r="N32" s="558"/>
      <c r="O32" s="573"/>
      <c r="P32" s="530"/>
      <c r="Q32" s="540"/>
      <c r="R32" s="558"/>
      <c r="S32" s="573"/>
      <c r="T32" s="530"/>
      <c r="U32" s="533"/>
      <c r="V32" s="509"/>
      <c r="W32" s="509"/>
      <c r="X32" s="16"/>
      <c r="Y32" s="16"/>
      <c r="Z32" s="16"/>
      <c r="AA32" s="16"/>
      <c r="AB32" s="16"/>
      <c r="AC32" s="16"/>
    </row>
    <row r="33" spans="1:29" ht="30" customHeight="1">
      <c r="A33" s="359"/>
      <c r="B33" s="183"/>
      <c r="C33" s="193" t="str">
        <f>"Category D   " &amp; IFERROR(VLOOKUP(H$25,$AF:$AG,2,FALSE),"")</f>
        <v xml:space="preserve">Category D   </v>
      </c>
      <c r="D33" s="296"/>
      <c r="E33" s="544"/>
      <c r="F33" s="544"/>
      <c r="G33" s="544"/>
      <c r="H33" s="544"/>
      <c r="I33" s="506"/>
      <c r="J33" s="506"/>
      <c r="K33" s="506"/>
      <c r="L33" s="506"/>
      <c r="M33" s="540"/>
      <c r="N33" s="558"/>
      <c r="O33" s="573"/>
      <c r="P33" s="530"/>
      <c r="Q33" s="540"/>
      <c r="R33" s="558"/>
      <c r="S33" s="573"/>
      <c r="T33" s="530"/>
      <c r="U33" s="534"/>
      <c r="V33" s="509"/>
      <c r="W33" s="509"/>
      <c r="X33" s="16"/>
      <c r="Y33" s="16"/>
      <c r="Z33" s="16"/>
      <c r="AA33" s="16"/>
      <c r="AB33" s="16"/>
      <c r="AC33" s="16"/>
    </row>
    <row r="34" spans="1:29" ht="22.5" customHeight="1">
      <c r="A34" s="352" t="s">
        <v>506</v>
      </c>
      <c r="B34" s="59"/>
      <c r="C34" s="86" t="s">
        <v>507</v>
      </c>
      <c r="D34" s="92"/>
      <c r="E34" s="511" t="str">
        <f>IF(Q34&lt;&gt;"",Q34,"")</f>
        <v/>
      </c>
      <c r="F34" s="511" t="str">
        <f>IF(R34&lt;&gt;"",R34,"")</f>
        <v/>
      </c>
      <c r="G34" s="511" t="str">
        <f>IF(S34&lt;&gt;"",S34,"")</f>
        <v/>
      </c>
      <c r="H34" s="511" t="str">
        <f>IF(T34&lt;&gt;"",T34,"")</f>
        <v/>
      </c>
      <c r="I34" s="493" t="str">
        <f>IF(Q34="NA","NA",IF(AND(Q34&lt;&gt;"",OR(Q34="NS",Q34&gt;=0)),5,"-"))</f>
        <v>-</v>
      </c>
      <c r="J34" s="493" t="str">
        <f>IF(R34="NA","NA",IF(AND(R34&lt;&gt;"",OR(R34="NS",R34&gt;=0)),5,"-"))</f>
        <v>-</v>
      </c>
      <c r="K34" s="493" t="str">
        <f>IF(S34="NA","NA",IF(AND(S34&lt;&gt;"",OR(S34="NS",S34&gt;=0)),5,"-"))</f>
        <v>-</v>
      </c>
      <c r="L34" s="493" t="str">
        <f>IF(T34="NA","NA",IF(AND(T34&lt;&gt;"",OR(T34="NS",T34&gt;=0)),5,"-"))</f>
        <v>-</v>
      </c>
      <c r="M34" s="514"/>
      <c r="N34" s="517"/>
      <c r="O34" s="520"/>
      <c r="P34" s="523"/>
      <c r="Q34" s="514"/>
      <c r="R34" s="517"/>
      <c r="S34" s="520"/>
      <c r="T34" s="523"/>
      <c r="U34" s="526"/>
      <c r="V34" s="509" t="e">
        <f>IF(COUNTIF(Q34:T41,"NA")/COUNTA(Q34:T41)=1,"NA","")</f>
        <v>#DIV/0!</v>
      </c>
      <c r="W34" s="509"/>
      <c r="X34" s="16"/>
      <c r="Y34" s="16"/>
      <c r="Z34" s="16"/>
      <c r="AA34" s="16"/>
      <c r="AB34" s="16"/>
      <c r="AC34" s="16"/>
    </row>
    <row r="35" spans="1:29" ht="76.5">
      <c r="A35" s="383" t="s">
        <v>252</v>
      </c>
      <c r="B35" s="82"/>
      <c r="C35" s="92" t="s">
        <v>508</v>
      </c>
      <c r="D35" s="92"/>
      <c r="E35" s="512"/>
      <c r="F35" s="512"/>
      <c r="G35" s="512"/>
      <c r="H35" s="512"/>
      <c r="I35" s="491"/>
      <c r="J35" s="491"/>
      <c r="K35" s="491"/>
      <c r="L35" s="491"/>
      <c r="M35" s="515"/>
      <c r="N35" s="518"/>
      <c r="O35" s="521"/>
      <c r="P35" s="524"/>
      <c r="Q35" s="515"/>
      <c r="R35" s="518"/>
      <c r="S35" s="521"/>
      <c r="T35" s="524"/>
      <c r="U35" s="527"/>
      <c r="V35" s="509"/>
      <c r="W35" s="509"/>
      <c r="X35" s="16"/>
      <c r="Y35" s="16"/>
      <c r="Z35" s="16"/>
      <c r="AA35" s="16"/>
      <c r="AB35" s="16"/>
      <c r="AC35" s="16"/>
    </row>
    <row r="36" spans="1:29" ht="12.75">
      <c r="A36" s="355"/>
      <c r="B36" s="60"/>
      <c r="C36" s="85"/>
      <c r="D36" s="92"/>
      <c r="E36" s="512"/>
      <c r="F36" s="512"/>
      <c r="G36" s="512"/>
      <c r="H36" s="512"/>
      <c r="I36" s="491"/>
      <c r="J36" s="491"/>
      <c r="K36" s="491"/>
      <c r="L36" s="491"/>
      <c r="M36" s="515"/>
      <c r="N36" s="518"/>
      <c r="O36" s="521"/>
      <c r="P36" s="524"/>
      <c r="Q36" s="515"/>
      <c r="R36" s="518"/>
      <c r="S36" s="521"/>
      <c r="T36" s="524"/>
      <c r="U36" s="527"/>
      <c r="V36" s="509"/>
      <c r="W36" s="509"/>
      <c r="X36" s="16"/>
      <c r="Y36" s="16"/>
      <c r="Z36" s="16"/>
      <c r="AA36" s="16"/>
      <c r="AB36" s="16"/>
      <c r="AC36" s="16"/>
    </row>
    <row r="37" spans="1:29" ht="12.75">
      <c r="A37" s="355"/>
      <c r="B37" s="82"/>
      <c r="C37" s="224" t="s">
        <v>430</v>
      </c>
      <c r="D37" s="92"/>
      <c r="E37" s="512"/>
      <c r="F37" s="512"/>
      <c r="G37" s="512"/>
      <c r="H37" s="512"/>
      <c r="I37" s="491"/>
      <c r="J37" s="491"/>
      <c r="K37" s="491"/>
      <c r="L37" s="491"/>
      <c r="M37" s="515"/>
      <c r="N37" s="518"/>
      <c r="O37" s="521"/>
      <c r="P37" s="524"/>
      <c r="Q37" s="515"/>
      <c r="R37" s="518"/>
      <c r="S37" s="521"/>
      <c r="T37" s="524"/>
      <c r="U37" s="527"/>
      <c r="V37" s="509"/>
      <c r="W37" s="509"/>
      <c r="X37" s="16"/>
      <c r="Y37" s="16"/>
      <c r="Z37" s="16"/>
      <c r="AA37" s="16"/>
      <c r="AB37" s="16"/>
      <c r="AC37" s="16"/>
    </row>
    <row r="38" spans="1:29" ht="30" customHeight="1">
      <c r="A38" s="355"/>
      <c r="B38" s="82"/>
      <c r="C38" s="65" t="str">
        <f>"Category A   " &amp; IFERROR(VLOOKUP(E$34,$AF:$AG,2,FALSE),"")</f>
        <v xml:space="preserve">Category A   </v>
      </c>
      <c r="D38" s="92"/>
      <c r="E38" s="512"/>
      <c r="F38" s="512"/>
      <c r="G38" s="512"/>
      <c r="H38" s="512"/>
      <c r="I38" s="491"/>
      <c r="J38" s="491"/>
      <c r="K38" s="491"/>
      <c r="L38" s="491"/>
      <c r="M38" s="515"/>
      <c r="N38" s="518"/>
      <c r="O38" s="521"/>
      <c r="P38" s="524"/>
      <c r="Q38" s="515"/>
      <c r="R38" s="518"/>
      <c r="S38" s="521"/>
      <c r="T38" s="524"/>
      <c r="U38" s="527"/>
      <c r="V38" s="509"/>
      <c r="W38" s="509"/>
      <c r="X38" s="16"/>
      <c r="Y38" s="16"/>
      <c r="Z38" s="16"/>
      <c r="AA38" s="16"/>
      <c r="AB38" s="16"/>
      <c r="AC38" s="16"/>
    </row>
    <row r="39" spans="1:29" ht="30" customHeight="1">
      <c r="A39" s="355"/>
      <c r="B39" s="82"/>
      <c r="C39" s="65" t="str">
        <f>"Category B   " &amp; IFERROR(VLOOKUP(F$34,$AF:$AG,2,FALSE),"")</f>
        <v xml:space="preserve">Category B   </v>
      </c>
      <c r="D39" s="92"/>
      <c r="E39" s="512"/>
      <c r="F39" s="512"/>
      <c r="G39" s="512"/>
      <c r="H39" s="512"/>
      <c r="I39" s="491"/>
      <c r="J39" s="491"/>
      <c r="K39" s="491"/>
      <c r="L39" s="491"/>
      <c r="M39" s="515"/>
      <c r="N39" s="518"/>
      <c r="O39" s="521"/>
      <c r="P39" s="524"/>
      <c r="Q39" s="515"/>
      <c r="R39" s="518"/>
      <c r="S39" s="521"/>
      <c r="T39" s="524"/>
      <c r="U39" s="527"/>
      <c r="V39" s="509"/>
      <c r="W39" s="509"/>
      <c r="X39" s="16"/>
      <c r="Y39" s="16"/>
      <c r="Z39" s="16"/>
      <c r="AA39" s="16"/>
      <c r="AB39" s="16"/>
      <c r="AC39" s="16"/>
    </row>
    <row r="40" spans="1:29" ht="30" customHeight="1">
      <c r="A40" s="355"/>
      <c r="B40" s="82"/>
      <c r="C40" s="65" t="str">
        <f>"Category C   " &amp; IFERROR(VLOOKUP(G$34,$AF:$AG,2,FALSE),"")</f>
        <v xml:space="preserve">Category C   </v>
      </c>
      <c r="D40" s="92"/>
      <c r="E40" s="512"/>
      <c r="F40" s="512"/>
      <c r="G40" s="512"/>
      <c r="H40" s="512"/>
      <c r="I40" s="491"/>
      <c r="J40" s="491"/>
      <c r="K40" s="491"/>
      <c r="L40" s="491"/>
      <c r="M40" s="515"/>
      <c r="N40" s="518"/>
      <c r="O40" s="521"/>
      <c r="P40" s="524"/>
      <c r="Q40" s="515"/>
      <c r="R40" s="518"/>
      <c r="S40" s="521"/>
      <c r="T40" s="524"/>
      <c r="U40" s="527"/>
      <c r="V40" s="509"/>
      <c r="W40" s="509"/>
      <c r="X40" s="16"/>
      <c r="Y40" s="16"/>
      <c r="Z40" s="16"/>
      <c r="AA40" s="16"/>
      <c r="AB40" s="16"/>
      <c r="AC40" s="16"/>
    </row>
    <row r="41" spans="1:29" ht="30" customHeight="1">
      <c r="A41" s="359"/>
      <c r="B41" s="183"/>
      <c r="C41" s="193" t="str">
        <f>"Category D   " &amp; IFERROR(VLOOKUP(H$34,$AF:$AG,2,FALSE),"")</f>
        <v xml:space="preserve">Category D   </v>
      </c>
      <c r="D41" s="296"/>
      <c r="E41" s="513"/>
      <c r="F41" s="513"/>
      <c r="G41" s="513"/>
      <c r="H41" s="513"/>
      <c r="I41" s="492"/>
      <c r="J41" s="492"/>
      <c r="K41" s="492"/>
      <c r="L41" s="492"/>
      <c r="M41" s="516"/>
      <c r="N41" s="519"/>
      <c r="O41" s="522"/>
      <c r="P41" s="525"/>
      <c r="Q41" s="516"/>
      <c r="R41" s="519"/>
      <c r="S41" s="522"/>
      <c r="T41" s="525"/>
      <c r="U41" s="528"/>
      <c r="V41" s="529"/>
      <c r="W41" s="510"/>
      <c r="X41" s="16"/>
      <c r="Y41" s="16"/>
      <c r="Z41" s="16"/>
      <c r="AA41" s="16"/>
      <c r="AB41" s="16"/>
      <c r="AC41" s="16"/>
    </row>
    <row r="42" spans="1:29" ht="22.5" customHeight="1">
      <c r="A42" s="352" t="s">
        <v>509</v>
      </c>
      <c r="B42" s="59"/>
      <c r="C42" s="86" t="s">
        <v>510</v>
      </c>
      <c r="D42" s="92"/>
      <c r="E42" s="511" t="str">
        <f>IF(Q42&lt;&gt;"",Q42,"")</f>
        <v/>
      </c>
      <c r="F42" s="511" t="str">
        <f>IF(R42&lt;&gt;"",R42,"")</f>
        <v/>
      </c>
      <c r="G42" s="511" t="str">
        <f>IF(S42&lt;&gt;"",S42,"")</f>
        <v/>
      </c>
      <c r="H42" s="511" t="str">
        <f>IF(T42&lt;&gt;"",T42,"")</f>
        <v/>
      </c>
      <c r="I42" s="493" t="str">
        <f>IF(Q42="NA","NA",IF(AND(Q42&lt;&gt;"",OR(Q42="NS",Q42&gt;=0)),5,"-"))</f>
        <v>-</v>
      </c>
      <c r="J42" s="493" t="str">
        <f>IF(R42="NA","NA",IF(AND(R42&lt;&gt;"",OR(R42="NS",R42&gt;=0)),5,"-"))</f>
        <v>-</v>
      </c>
      <c r="K42" s="493" t="str">
        <f>IF(S42="NA","NA",IF(AND(S42&lt;&gt;"",OR(S42="NS",S42&gt;=0)),5,"-"))</f>
        <v>-</v>
      </c>
      <c r="L42" s="493" t="str">
        <f>IF(T42="NA","NA",IF(AND(T42&lt;&gt;"",OR(T42="NS",T42&gt;=0)),5,"-"))</f>
        <v>-</v>
      </c>
      <c r="M42" s="514"/>
      <c r="N42" s="517"/>
      <c r="O42" s="520"/>
      <c r="P42" s="523"/>
      <c r="Q42" s="514"/>
      <c r="R42" s="517"/>
      <c r="S42" s="520"/>
      <c r="T42" s="523"/>
      <c r="U42" s="526"/>
      <c r="V42" s="509" t="e">
        <f>IF(COUNTIF(Q42:T49,"NA")/COUNTA(Q42:T49)=1,"NA","")</f>
        <v>#DIV/0!</v>
      </c>
      <c r="W42" s="509"/>
      <c r="X42" s="16"/>
      <c r="Y42" s="16"/>
      <c r="Z42" s="16"/>
      <c r="AA42" s="16"/>
      <c r="AB42" s="16"/>
      <c r="AC42" s="16"/>
    </row>
    <row r="43" spans="1:29" ht="165.75">
      <c r="A43" s="383" t="s">
        <v>252</v>
      </c>
      <c r="B43" s="82"/>
      <c r="C43" s="92" t="s">
        <v>511</v>
      </c>
      <c r="D43" s="92"/>
      <c r="E43" s="512"/>
      <c r="F43" s="512"/>
      <c r="G43" s="512"/>
      <c r="H43" s="512"/>
      <c r="I43" s="491"/>
      <c r="J43" s="491"/>
      <c r="K43" s="491"/>
      <c r="L43" s="491"/>
      <c r="M43" s="515"/>
      <c r="N43" s="518"/>
      <c r="O43" s="521"/>
      <c r="P43" s="524"/>
      <c r="Q43" s="515"/>
      <c r="R43" s="518"/>
      <c r="S43" s="521"/>
      <c r="T43" s="524"/>
      <c r="U43" s="527"/>
      <c r="V43" s="509"/>
      <c r="W43" s="509"/>
      <c r="X43" s="16"/>
      <c r="Y43" s="16"/>
      <c r="Z43" s="16"/>
      <c r="AA43" s="16"/>
      <c r="AB43" s="16"/>
      <c r="AC43" s="16"/>
    </row>
    <row r="44" spans="1:29" ht="12.75">
      <c r="A44" s="355"/>
      <c r="B44" s="60"/>
      <c r="C44" s="85"/>
      <c r="D44" s="92"/>
      <c r="E44" s="512"/>
      <c r="F44" s="512"/>
      <c r="G44" s="512"/>
      <c r="H44" s="512"/>
      <c r="I44" s="491"/>
      <c r="J44" s="491"/>
      <c r="K44" s="491"/>
      <c r="L44" s="491"/>
      <c r="M44" s="515"/>
      <c r="N44" s="518"/>
      <c r="O44" s="521"/>
      <c r="P44" s="524"/>
      <c r="Q44" s="515"/>
      <c r="R44" s="518"/>
      <c r="S44" s="521"/>
      <c r="T44" s="524"/>
      <c r="U44" s="527"/>
      <c r="V44" s="509"/>
      <c r="W44" s="509"/>
      <c r="X44" s="16"/>
      <c r="Y44" s="16"/>
      <c r="Z44" s="16"/>
      <c r="AA44" s="16"/>
      <c r="AB44" s="16"/>
      <c r="AC44" s="16"/>
    </row>
    <row r="45" spans="1:29" ht="12.75">
      <c r="A45" s="355"/>
      <c r="B45" s="82"/>
      <c r="C45" s="224" t="s">
        <v>430</v>
      </c>
      <c r="D45" s="92"/>
      <c r="E45" s="512"/>
      <c r="F45" s="512"/>
      <c r="G45" s="512"/>
      <c r="H45" s="512"/>
      <c r="I45" s="491"/>
      <c r="J45" s="491"/>
      <c r="K45" s="491"/>
      <c r="L45" s="491"/>
      <c r="M45" s="515"/>
      <c r="N45" s="518"/>
      <c r="O45" s="521"/>
      <c r="P45" s="524"/>
      <c r="Q45" s="515"/>
      <c r="R45" s="518"/>
      <c r="S45" s="521"/>
      <c r="T45" s="524"/>
      <c r="U45" s="527"/>
      <c r="V45" s="509"/>
      <c r="W45" s="509"/>
      <c r="X45" s="16"/>
      <c r="Y45" s="16"/>
      <c r="Z45" s="16"/>
      <c r="AA45" s="16"/>
      <c r="AB45" s="16"/>
      <c r="AC45" s="16"/>
    </row>
    <row r="46" spans="1:29" ht="30" customHeight="1">
      <c r="A46" s="355"/>
      <c r="B46" s="82"/>
      <c r="C46" s="65" t="str">
        <f>"Category A   " &amp; IFERROR(VLOOKUP(E$42,$AF:$AG,2,FALSE),"")</f>
        <v xml:space="preserve">Category A   </v>
      </c>
      <c r="D46" s="92"/>
      <c r="E46" s="512"/>
      <c r="F46" s="512"/>
      <c r="G46" s="512"/>
      <c r="H46" s="512"/>
      <c r="I46" s="491"/>
      <c r="J46" s="491"/>
      <c r="K46" s="491"/>
      <c r="L46" s="491"/>
      <c r="M46" s="515"/>
      <c r="N46" s="518"/>
      <c r="O46" s="521"/>
      <c r="P46" s="524"/>
      <c r="Q46" s="515"/>
      <c r="R46" s="518"/>
      <c r="S46" s="521"/>
      <c r="T46" s="524"/>
      <c r="U46" s="527"/>
      <c r="V46" s="509"/>
      <c r="W46" s="509"/>
      <c r="X46" s="16"/>
      <c r="Y46" s="16"/>
      <c r="Z46" s="16"/>
      <c r="AA46" s="16"/>
      <c r="AB46" s="16"/>
      <c r="AC46" s="16"/>
    </row>
    <row r="47" spans="1:29" ht="30" customHeight="1">
      <c r="A47" s="355"/>
      <c r="B47" s="82"/>
      <c r="C47" s="65" t="str">
        <f>"Category B   " &amp; IFERROR(VLOOKUP(F$42,$AF:$AG,2,FALSE),"")</f>
        <v xml:space="preserve">Category B   </v>
      </c>
      <c r="D47" s="92"/>
      <c r="E47" s="512"/>
      <c r="F47" s="512"/>
      <c r="G47" s="512"/>
      <c r="H47" s="512"/>
      <c r="I47" s="491"/>
      <c r="J47" s="491"/>
      <c r="K47" s="491"/>
      <c r="L47" s="491"/>
      <c r="M47" s="515"/>
      <c r="N47" s="518"/>
      <c r="O47" s="521"/>
      <c r="P47" s="524"/>
      <c r="Q47" s="515"/>
      <c r="R47" s="518"/>
      <c r="S47" s="521"/>
      <c r="T47" s="524"/>
      <c r="U47" s="527"/>
      <c r="V47" s="509"/>
      <c r="W47" s="509"/>
      <c r="X47" s="16"/>
      <c r="Y47" s="16"/>
      <c r="Z47" s="16"/>
      <c r="AA47" s="16"/>
      <c r="AB47" s="16"/>
      <c r="AC47" s="16"/>
    </row>
    <row r="48" spans="1:29" ht="30" customHeight="1">
      <c r="A48" s="355"/>
      <c r="B48" s="82"/>
      <c r="C48" s="65" t="str">
        <f>"Category C   " &amp; IFERROR(VLOOKUP(G$42,$AF:$AG,2,FALSE),"")</f>
        <v xml:space="preserve">Category C   </v>
      </c>
      <c r="D48" s="92"/>
      <c r="E48" s="512"/>
      <c r="F48" s="512"/>
      <c r="G48" s="512"/>
      <c r="H48" s="512"/>
      <c r="I48" s="491"/>
      <c r="J48" s="491"/>
      <c r="K48" s="491"/>
      <c r="L48" s="491"/>
      <c r="M48" s="515"/>
      <c r="N48" s="518"/>
      <c r="O48" s="521"/>
      <c r="P48" s="524"/>
      <c r="Q48" s="515"/>
      <c r="R48" s="518"/>
      <c r="S48" s="521"/>
      <c r="T48" s="524"/>
      <c r="U48" s="527"/>
      <c r="V48" s="509"/>
      <c r="W48" s="509"/>
      <c r="X48" s="16"/>
      <c r="Y48" s="16"/>
      <c r="Z48" s="16"/>
      <c r="AA48" s="16"/>
      <c r="AB48" s="16"/>
      <c r="AC48" s="16"/>
    </row>
    <row r="49" spans="1:29" ht="30" customHeight="1">
      <c r="A49" s="359"/>
      <c r="B49" s="183"/>
      <c r="C49" s="193" t="str">
        <f>"Category D   " &amp; IFERROR(VLOOKUP(H$42,$AF:$AG,2,FALSE),"")</f>
        <v xml:space="preserve">Category D   </v>
      </c>
      <c r="D49" s="296"/>
      <c r="E49" s="513"/>
      <c r="F49" s="513"/>
      <c r="G49" s="513"/>
      <c r="H49" s="513"/>
      <c r="I49" s="492"/>
      <c r="J49" s="492"/>
      <c r="K49" s="492"/>
      <c r="L49" s="492"/>
      <c r="M49" s="516"/>
      <c r="N49" s="519"/>
      <c r="O49" s="522"/>
      <c r="P49" s="525"/>
      <c r="Q49" s="516"/>
      <c r="R49" s="519"/>
      <c r="S49" s="522"/>
      <c r="T49" s="525"/>
      <c r="U49" s="528"/>
      <c r="V49" s="529"/>
      <c r="W49" s="510"/>
      <c r="X49" s="16"/>
      <c r="Y49" s="16"/>
      <c r="Z49" s="16"/>
      <c r="AA49" s="16"/>
      <c r="AB49" s="16"/>
      <c r="AC49" s="16"/>
    </row>
    <row r="50" spans="1:29" ht="22.5" customHeight="1">
      <c r="A50" s="352" t="s">
        <v>512</v>
      </c>
      <c r="B50" s="59"/>
      <c r="C50" s="86" t="s">
        <v>513</v>
      </c>
      <c r="D50" s="92"/>
      <c r="E50" s="511" t="str">
        <f>IF(Q50&lt;&gt;"",Q50,"")</f>
        <v/>
      </c>
      <c r="F50" s="511" t="str">
        <f>IF(R50&lt;&gt;"",R50,"")</f>
        <v/>
      </c>
      <c r="G50" s="511" t="str">
        <f>IF(S50&lt;&gt;"",S50,"")</f>
        <v/>
      </c>
      <c r="H50" s="511" t="str">
        <f>IF(T50&lt;&gt;"",T50,"")</f>
        <v/>
      </c>
      <c r="I50" s="493" t="str">
        <f>IF(Q50="NA","NA",IF(AND(Q50&lt;&gt;"",OR(Q50="NS",Q50&gt;=0)),1,"-"))</f>
        <v>-</v>
      </c>
      <c r="J50" s="493" t="str">
        <f>IF(R50="NA","NA",IF(AND(R50&lt;&gt;"",OR(R50="NS",R50&gt;=0)),1,"-"))</f>
        <v>-</v>
      </c>
      <c r="K50" s="493" t="str">
        <f>IF(S50="NA","NA",IF(AND(S50&lt;&gt;"",OR(S50="NS",S50&gt;=0)),1,"-"))</f>
        <v>-</v>
      </c>
      <c r="L50" s="493" t="str">
        <f>IF(T50="NA","NA",IF(AND(T50&lt;&gt;"",OR(T50="NS",T50&gt;=0)),1,"-"))</f>
        <v>-</v>
      </c>
      <c r="M50" s="514"/>
      <c r="N50" s="517"/>
      <c r="O50" s="520"/>
      <c r="P50" s="523"/>
      <c r="Q50" s="514"/>
      <c r="R50" s="517"/>
      <c r="S50" s="520"/>
      <c r="T50" s="523"/>
      <c r="U50" s="526"/>
      <c r="V50" s="509" t="e">
        <f>IF(COUNTIF(Q50:T57,"NA")/COUNTA(Q50:T57)=1,"NA","")</f>
        <v>#DIV/0!</v>
      </c>
      <c r="W50" s="509"/>
      <c r="X50" s="16"/>
      <c r="Y50" s="16"/>
      <c r="Z50" s="16"/>
      <c r="AA50" s="16"/>
      <c r="AB50" s="16"/>
      <c r="AC50" s="16"/>
    </row>
    <row r="51" spans="1:29" ht="25.5">
      <c r="A51" s="383" t="s">
        <v>182</v>
      </c>
      <c r="B51" s="82"/>
      <c r="C51" s="92" t="s">
        <v>514</v>
      </c>
      <c r="D51" s="92"/>
      <c r="E51" s="512"/>
      <c r="F51" s="512"/>
      <c r="G51" s="512"/>
      <c r="H51" s="512"/>
      <c r="I51" s="491"/>
      <c r="J51" s="491"/>
      <c r="K51" s="491"/>
      <c r="L51" s="491"/>
      <c r="M51" s="515"/>
      <c r="N51" s="518"/>
      <c r="O51" s="521"/>
      <c r="P51" s="524"/>
      <c r="Q51" s="515"/>
      <c r="R51" s="518"/>
      <c r="S51" s="521"/>
      <c r="T51" s="524"/>
      <c r="U51" s="527"/>
      <c r="V51" s="509"/>
      <c r="W51" s="509"/>
      <c r="X51" s="16"/>
      <c r="Y51" s="16"/>
      <c r="Z51" s="16"/>
      <c r="AA51" s="16"/>
      <c r="AB51" s="16"/>
      <c r="AC51" s="16"/>
    </row>
    <row r="52" spans="1:29" ht="12.75">
      <c r="A52" s="355"/>
      <c r="B52" s="60"/>
      <c r="C52" s="85"/>
      <c r="D52" s="92"/>
      <c r="E52" s="512"/>
      <c r="F52" s="512"/>
      <c r="G52" s="512"/>
      <c r="H52" s="512"/>
      <c r="I52" s="491"/>
      <c r="J52" s="491"/>
      <c r="K52" s="491"/>
      <c r="L52" s="491"/>
      <c r="M52" s="515"/>
      <c r="N52" s="518"/>
      <c r="O52" s="521"/>
      <c r="P52" s="524"/>
      <c r="Q52" s="515"/>
      <c r="R52" s="518"/>
      <c r="S52" s="521"/>
      <c r="T52" s="524"/>
      <c r="U52" s="527"/>
      <c r="V52" s="509"/>
      <c r="W52" s="509"/>
      <c r="X52" s="16"/>
      <c r="Y52" s="16"/>
      <c r="Z52" s="16"/>
      <c r="AA52" s="16"/>
      <c r="AB52" s="16"/>
      <c r="AC52" s="16"/>
    </row>
    <row r="53" spans="1:29" ht="12.75">
      <c r="A53" s="355"/>
      <c r="B53" s="82"/>
      <c r="C53" s="224" t="s">
        <v>430</v>
      </c>
      <c r="D53" s="92"/>
      <c r="E53" s="512"/>
      <c r="F53" s="512"/>
      <c r="G53" s="512"/>
      <c r="H53" s="512"/>
      <c r="I53" s="491"/>
      <c r="J53" s="491"/>
      <c r="K53" s="491"/>
      <c r="L53" s="491"/>
      <c r="M53" s="515"/>
      <c r="N53" s="518"/>
      <c r="O53" s="521"/>
      <c r="P53" s="524"/>
      <c r="Q53" s="515"/>
      <c r="R53" s="518"/>
      <c r="S53" s="521"/>
      <c r="T53" s="524"/>
      <c r="U53" s="527"/>
      <c r="V53" s="509"/>
      <c r="W53" s="509"/>
      <c r="X53" s="16"/>
      <c r="Y53" s="16"/>
      <c r="Z53" s="16"/>
      <c r="AA53" s="16"/>
      <c r="AB53" s="16"/>
      <c r="AC53" s="16"/>
    </row>
    <row r="54" spans="1:29" ht="30" customHeight="1">
      <c r="A54" s="355"/>
      <c r="B54" s="82"/>
      <c r="C54" s="65" t="str">
        <f>"Category A   " &amp; IFERROR(VLOOKUP(E$50,$AF:$AG,2,FALSE),"")</f>
        <v xml:space="preserve">Category A   </v>
      </c>
      <c r="D54" s="92"/>
      <c r="E54" s="512"/>
      <c r="F54" s="512"/>
      <c r="G54" s="512"/>
      <c r="H54" s="512"/>
      <c r="I54" s="491"/>
      <c r="J54" s="491"/>
      <c r="K54" s="491"/>
      <c r="L54" s="491"/>
      <c r="M54" s="515"/>
      <c r="N54" s="518"/>
      <c r="O54" s="521"/>
      <c r="P54" s="524"/>
      <c r="Q54" s="515"/>
      <c r="R54" s="518"/>
      <c r="S54" s="521"/>
      <c r="T54" s="524"/>
      <c r="U54" s="527"/>
      <c r="V54" s="509"/>
      <c r="W54" s="509"/>
      <c r="X54" s="16"/>
      <c r="Y54" s="16"/>
      <c r="Z54" s="16"/>
      <c r="AA54" s="16"/>
      <c r="AB54" s="16"/>
      <c r="AC54" s="16"/>
    </row>
    <row r="55" spans="1:29" ht="30" customHeight="1">
      <c r="A55" s="355"/>
      <c r="B55" s="82"/>
      <c r="C55" s="65" t="str">
        <f>"Category B   " &amp; IFERROR(VLOOKUP(F$50,$AF:$AG,2,FALSE),"")</f>
        <v xml:space="preserve">Category B   </v>
      </c>
      <c r="D55" s="92"/>
      <c r="E55" s="512"/>
      <c r="F55" s="512"/>
      <c r="G55" s="512"/>
      <c r="H55" s="512"/>
      <c r="I55" s="491"/>
      <c r="J55" s="491"/>
      <c r="K55" s="491"/>
      <c r="L55" s="491"/>
      <c r="M55" s="515"/>
      <c r="N55" s="518"/>
      <c r="O55" s="521"/>
      <c r="P55" s="524"/>
      <c r="Q55" s="515"/>
      <c r="R55" s="518"/>
      <c r="S55" s="521"/>
      <c r="T55" s="524"/>
      <c r="U55" s="527"/>
      <c r="V55" s="509"/>
      <c r="W55" s="509"/>
      <c r="X55" s="16"/>
      <c r="Y55" s="16"/>
      <c r="Z55" s="16"/>
      <c r="AA55" s="16"/>
      <c r="AB55" s="16"/>
      <c r="AC55" s="16"/>
    </row>
    <row r="56" spans="1:29" ht="30" customHeight="1">
      <c r="A56" s="355"/>
      <c r="B56" s="82"/>
      <c r="C56" s="65" t="str">
        <f>"Category C   " &amp; IFERROR(VLOOKUP(G$50,$AF:$AG,2,FALSE),"")</f>
        <v xml:space="preserve">Category C   </v>
      </c>
      <c r="D56" s="92"/>
      <c r="E56" s="512"/>
      <c r="F56" s="512"/>
      <c r="G56" s="512"/>
      <c r="H56" s="512"/>
      <c r="I56" s="491"/>
      <c r="J56" s="491"/>
      <c r="K56" s="491"/>
      <c r="L56" s="491"/>
      <c r="M56" s="515"/>
      <c r="N56" s="518"/>
      <c r="O56" s="521"/>
      <c r="P56" s="524"/>
      <c r="Q56" s="515"/>
      <c r="R56" s="518"/>
      <c r="S56" s="521"/>
      <c r="T56" s="524"/>
      <c r="U56" s="527"/>
      <c r="V56" s="509"/>
      <c r="W56" s="509"/>
      <c r="X56" s="16"/>
      <c r="Y56" s="16"/>
      <c r="Z56" s="16"/>
      <c r="AA56" s="16"/>
      <c r="AB56" s="16"/>
      <c r="AC56" s="16"/>
    </row>
    <row r="57" spans="1:29" ht="30" customHeight="1">
      <c r="A57" s="359"/>
      <c r="B57" s="183"/>
      <c r="C57" s="193" t="str">
        <f>"Category D   " &amp; IFERROR(VLOOKUP(H$50,$AF:$AG,2,FALSE),"")</f>
        <v xml:space="preserve">Category D   </v>
      </c>
      <c r="D57" s="296"/>
      <c r="E57" s="513"/>
      <c r="F57" s="513"/>
      <c r="G57" s="513"/>
      <c r="H57" s="513"/>
      <c r="I57" s="492"/>
      <c r="J57" s="492"/>
      <c r="K57" s="492"/>
      <c r="L57" s="492"/>
      <c r="M57" s="516"/>
      <c r="N57" s="519"/>
      <c r="O57" s="522"/>
      <c r="P57" s="525"/>
      <c r="Q57" s="516"/>
      <c r="R57" s="519"/>
      <c r="S57" s="522"/>
      <c r="T57" s="525"/>
      <c r="U57" s="528"/>
      <c r="V57" s="529"/>
      <c r="W57" s="510"/>
      <c r="X57" s="16"/>
      <c r="Y57" s="16"/>
      <c r="Z57" s="16"/>
      <c r="AA57" s="16"/>
      <c r="AB57" s="16"/>
      <c r="AC57" s="16"/>
    </row>
    <row r="58" spans="1:29" ht="22.5" customHeight="1">
      <c r="A58" s="352" t="s">
        <v>515</v>
      </c>
      <c r="B58" s="59"/>
      <c r="C58" s="86" t="s">
        <v>516</v>
      </c>
      <c r="D58" s="92"/>
      <c r="E58" s="511" t="str">
        <f>IF(Q58&lt;&gt;"",Q58,"")</f>
        <v/>
      </c>
      <c r="F58" s="511" t="str">
        <f>IF(R58&lt;&gt;"",R58,"")</f>
        <v/>
      </c>
      <c r="G58" s="511" t="str">
        <f>IF(S58&lt;&gt;"",S58,"")</f>
        <v/>
      </c>
      <c r="H58" s="511" t="str">
        <f>IF(T58&lt;&gt;"",T58,"")</f>
        <v/>
      </c>
      <c r="I58" s="493" t="str">
        <f>IF(Q58="NA","NA",IF(AND(Q58&lt;&gt;"",OR(Q58="NS",Q58&gt;=0)),6,"-"))</f>
        <v>-</v>
      </c>
      <c r="J58" s="493" t="str">
        <f>IF(R58="NA","NA",IF(AND(R58&lt;&gt;"",OR(R58="NS",R58&gt;=0)),6,"-"))</f>
        <v>-</v>
      </c>
      <c r="K58" s="493" t="str">
        <f>IF(S58="NA","NA",IF(AND(S58&lt;&gt;"",OR(S58="NS",S58&gt;=0)),6,"-"))</f>
        <v>-</v>
      </c>
      <c r="L58" s="493" t="str">
        <f>IF(T58="NA","NA",IF(AND(T58&lt;&gt;"",OR(T58="NS",T58&gt;=0)),6,"-"))</f>
        <v>-</v>
      </c>
      <c r="M58" s="514"/>
      <c r="N58" s="517"/>
      <c r="O58" s="520"/>
      <c r="P58" s="523"/>
      <c r="Q58" s="514"/>
      <c r="R58" s="517"/>
      <c r="S58" s="520"/>
      <c r="T58" s="523"/>
      <c r="U58" s="526"/>
      <c r="V58" s="509" t="e">
        <f>IF(COUNTIF(Q58:T65,"NA")/COUNTA(Q58:T65)=1,"NA","")</f>
        <v>#DIV/0!</v>
      </c>
      <c r="W58" s="509"/>
      <c r="X58" s="16"/>
      <c r="Y58" s="16"/>
      <c r="Z58" s="16"/>
      <c r="AA58" s="16"/>
      <c r="AB58" s="16"/>
      <c r="AC58" s="16"/>
    </row>
    <row r="59" spans="1:29" ht="165.75">
      <c r="A59" s="383" t="s">
        <v>518</v>
      </c>
      <c r="B59" s="82"/>
      <c r="C59" s="92" t="s">
        <v>517</v>
      </c>
      <c r="D59" s="92"/>
      <c r="E59" s="512"/>
      <c r="F59" s="512"/>
      <c r="G59" s="512"/>
      <c r="H59" s="512"/>
      <c r="I59" s="491"/>
      <c r="J59" s="491"/>
      <c r="K59" s="491"/>
      <c r="L59" s="491"/>
      <c r="M59" s="515"/>
      <c r="N59" s="518"/>
      <c r="O59" s="521"/>
      <c r="P59" s="524"/>
      <c r="Q59" s="515"/>
      <c r="R59" s="518"/>
      <c r="S59" s="521"/>
      <c r="T59" s="524"/>
      <c r="U59" s="527"/>
      <c r="V59" s="509"/>
      <c r="W59" s="509"/>
      <c r="X59" s="16"/>
      <c r="Y59" s="16"/>
      <c r="Z59" s="16"/>
      <c r="AA59" s="16"/>
      <c r="AB59" s="16"/>
      <c r="AC59" s="16"/>
    </row>
    <row r="60" spans="1:29" ht="12.75">
      <c r="A60" s="355"/>
      <c r="B60" s="60"/>
      <c r="C60" s="85"/>
      <c r="D60" s="92"/>
      <c r="E60" s="512"/>
      <c r="F60" s="512"/>
      <c r="G60" s="512"/>
      <c r="H60" s="512"/>
      <c r="I60" s="491"/>
      <c r="J60" s="491"/>
      <c r="K60" s="491"/>
      <c r="L60" s="491"/>
      <c r="M60" s="515"/>
      <c r="N60" s="518"/>
      <c r="O60" s="521"/>
      <c r="P60" s="524"/>
      <c r="Q60" s="515"/>
      <c r="R60" s="518"/>
      <c r="S60" s="521"/>
      <c r="T60" s="524"/>
      <c r="U60" s="527"/>
      <c r="V60" s="509"/>
      <c r="W60" s="509"/>
      <c r="X60" s="16"/>
      <c r="Y60" s="16"/>
      <c r="Z60" s="16"/>
      <c r="AA60" s="16"/>
      <c r="AB60" s="16"/>
      <c r="AC60" s="16"/>
    </row>
    <row r="61" spans="1:29" ht="12.75">
      <c r="A61" s="355"/>
      <c r="B61" s="82"/>
      <c r="C61" s="224" t="s">
        <v>430</v>
      </c>
      <c r="D61" s="92"/>
      <c r="E61" s="512"/>
      <c r="F61" s="512"/>
      <c r="G61" s="512"/>
      <c r="H61" s="512"/>
      <c r="I61" s="491"/>
      <c r="J61" s="491"/>
      <c r="K61" s="491"/>
      <c r="L61" s="491"/>
      <c r="M61" s="515"/>
      <c r="N61" s="518"/>
      <c r="O61" s="521"/>
      <c r="P61" s="524"/>
      <c r="Q61" s="515"/>
      <c r="R61" s="518"/>
      <c r="S61" s="521"/>
      <c r="T61" s="524"/>
      <c r="U61" s="527"/>
      <c r="V61" s="509"/>
      <c r="W61" s="509"/>
      <c r="X61" s="16"/>
      <c r="Y61" s="16"/>
      <c r="Z61" s="16"/>
      <c r="AA61" s="16"/>
      <c r="AB61" s="16"/>
      <c r="AC61" s="16"/>
    </row>
    <row r="62" spans="1:29" ht="30" customHeight="1">
      <c r="A62" s="355"/>
      <c r="B62" s="82"/>
      <c r="C62" s="65" t="str">
        <f>"Category A   " &amp; IFERROR(VLOOKUP(E$58,$AF:$AG,2,FALSE),"")</f>
        <v xml:space="preserve">Category A   </v>
      </c>
      <c r="D62" s="92"/>
      <c r="E62" s="512"/>
      <c r="F62" s="512"/>
      <c r="G62" s="512"/>
      <c r="H62" s="512"/>
      <c r="I62" s="491"/>
      <c r="J62" s="491"/>
      <c r="K62" s="491"/>
      <c r="L62" s="491"/>
      <c r="M62" s="515"/>
      <c r="N62" s="518"/>
      <c r="O62" s="521"/>
      <c r="P62" s="524"/>
      <c r="Q62" s="515"/>
      <c r="R62" s="518"/>
      <c r="S62" s="521"/>
      <c r="T62" s="524"/>
      <c r="U62" s="527"/>
      <c r="V62" s="509"/>
      <c r="W62" s="509"/>
      <c r="X62" s="16"/>
      <c r="Y62" s="16"/>
      <c r="Z62" s="16"/>
      <c r="AA62" s="16"/>
      <c r="AB62" s="16"/>
      <c r="AC62" s="16"/>
    </row>
    <row r="63" spans="1:29" ht="30" customHeight="1">
      <c r="A63" s="355"/>
      <c r="B63" s="82"/>
      <c r="C63" s="65" t="str">
        <f>"Category B   " &amp; IFERROR(VLOOKUP(F$58,$AF:$AG,2,FALSE),"")</f>
        <v xml:space="preserve">Category B   </v>
      </c>
      <c r="D63" s="92"/>
      <c r="E63" s="512"/>
      <c r="F63" s="512"/>
      <c r="G63" s="512"/>
      <c r="H63" s="512"/>
      <c r="I63" s="491"/>
      <c r="J63" s="491"/>
      <c r="K63" s="491"/>
      <c r="L63" s="491"/>
      <c r="M63" s="515"/>
      <c r="N63" s="518"/>
      <c r="O63" s="521"/>
      <c r="P63" s="524"/>
      <c r="Q63" s="515"/>
      <c r="R63" s="518"/>
      <c r="S63" s="521"/>
      <c r="T63" s="524"/>
      <c r="U63" s="527"/>
      <c r="V63" s="509"/>
      <c r="W63" s="509"/>
      <c r="X63" s="16"/>
      <c r="Y63" s="16"/>
      <c r="Z63" s="16"/>
      <c r="AA63" s="16"/>
      <c r="AB63" s="16"/>
      <c r="AC63" s="16"/>
    </row>
    <row r="64" spans="1:29" ht="30" customHeight="1">
      <c r="A64" s="355"/>
      <c r="B64" s="82"/>
      <c r="C64" s="65" t="str">
        <f>"Category C   " &amp; IFERROR(VLOOKUP(G$58,$AF:$AG,2,FALSE),"")</f>
        <v xml:space="preserve">Category C   </v>
      </c>
      <c r="D64" s="92"/>
      <c r="E64" s="512"/>
      <c r="F64" s="512"/>
      <c r="G64" s="512"/>
      <c r="H64" s="512"/>
      <c r="I64" s="491"/>
      <c r="J64" s="491"/>
      <c r="K64" s="491"/>
      <c r="L64" s="491"/>
      <c r="M64" s="515"/>
      <c r="N64" s="518"/>
      <c r="O64" s="521"/>
      <c r="P64" s="524"/>
      <c r="Q64" s="515"/>
      <c r="R64" s="518"/>
      <c r="S64" s="521"/>
      <c r="T64" s="524"/>
      <c r="U64" s="527"/>
      <c r="V64" s="509"/>
      <c r="W64" s="509"/>
      <c r="X64" s="16"/>
      <c r="Y64" s="16"/>
      <c r="Z64" s="16"/>
      <c r="AA64" s="16"/>
      <c r="AB64" s="16"/>
      <c r="AC64" s="16"/>
    </row>
    <row r="65" spans="1:29" ht="30" customHeight="1">
      <c r="A65" s="359"/>
      <c r="B65" s="183"/>
      <c r="C65" s="193" t="str">
        <f>"Category D   " &amp; IFERROR(VLOOKUP(H$58,$AF:$AG,2,FALSE),"")</f>
        <v xml:space="preserve">Category D   </v>
      </c>
      <c r="D65" s="296"/>
      <c r="E65" s="513"/>
      <c r="F65" s="513"/>
      <c r="G65" s="513"/>
      <c r="H65" s="513"/>
      <c r="I65" s="492"/>
      <c r="J65" s="492"/>
      <c r="K65" s="492"/>
      <c r="L65" s="492"/>
      <c r="M65" s="516"/>
      <c r="N65" s="519"/>
      <c r="O65" s="522"/>
      <c r="P65" s="525"/>
      <c r="Q65" s="516"/>
      <c r="R65" s="519"/>
      <c r="S65" s="522"/>
      <c r="T65" s="525"/>
      <c r="U65" s="528"/>
      <c r="V65" s="529"/>
      <c r="W65" s="510"/>
      <c r="X65" s="16"/>
      <c r="Y65" s="16"/>
      <c r="Z65" s="16"/>
      <c r="AA65" s="16"/>
      <c r="AB65" s="16"/>
      <c r="AC65" s="16"/>
    </row>
    <row r="66" spans="1:29" ht="22.5" customHeight="1">
      <c r="A66" s="350" t="s">
        <v>88</v>
      </c>
      <c r="B66" s="343"/>
      <c r="C66" s="161" t="s">
        <v>436</v>
      </c>
      <c r="D66" s="351"/>
      <c r="E66" s="544" t="str">
        <f>IF(Q66&lt;&gt;"",Q66,"")</f>
        <v/>
      </c>
      <c r="F66" s="544" t="str">
        <f>IF(R66&lt;&gt;"",R66,"")</f>
        <v/>
      </c>
      <c r="G66" s="544" t="str">
        <f>IF(S66&lt;&gt;"",S66,"")</f>
        <v/>
      </c>
      <c r="H66" s="544" t="str">
        <f>IF(T66&lt;&gt;"",T66,"")</f>
        <v/>
      </c>
      <c r="I66" s="506" t="str">
        <f>IF(Q66="NA","NA",IF(AND(Q66&lt;&gt;"",OR(Q66="NS",Q66&gt;=0)),3,"-"))</f>
        <v>-</v>
      </c>
      <c r="J66" s="506" t="str">
        <f>IF(R66="NA","NA",IF(AND(R66&lt;&gt;"",OR(R66="NS",R66&gt;=0)),3,"-"))</f>
        <v>-</v>
      </c>
      <c r="K66" s="506" t="str">
        <f>IF(S66="NA","NA",IF(AND(S66&lt;&gt;"",OR(S66="NS",S66&gt;=0)),3,"-"))</f>
        <v>-</v>
      </c>
      <c r="L66" s="506" t="str">
        <f>IF(T66="NA","NA",IF(AND(T66&lt;&gt;"",OR(T66="NS",T66&gt;=0)),3,"-"))</f>
        <v>-</v>
      </c>
      <c r="M66" s="540"/>
      <c r="N66" s="558"/>
      <c r="O66" s="573"/>
      <c r="P66" s="530"/>
      <c r="Q66" s="540"/>
      <c r="R66" s="558"/>
      <c r="S66" s="573"/>
      <c r="T66" s="530"/>
      <c r="U66" s="539"/>
      <c r="V66" s="539" t="e">
        <f>IF(COUNTIF(Q66:T74,"NA")/COUNTA(Q66:T74)=1,"NA","")</f>
        <v>#DIV/0!</v>
      </c>
      <c r="W66" s="535" t="str">
        <f>IF(COUNTIF(Q66:T74,0)&gt;0,0,"")</f>
        <v/>
      </c>
      <c r="X66" s="16"/>
      <c r="Y66" s="16"/>
      <c r="Z66" s="16"/>
      <c r="AA66" s="16"/>
      <c r="AB66" s="16"/>
      <c r="AC66" s="16"/>
    </row>
    <row r="67" spans="1:29" ht="25.5" customHeight="1">
      <c r="A67" s="354"/>
      <c r="B67" s="59"/>
      <c r="C67" s="401" t="str">
        <f>_xlfn.IFNA(VLOOKUP($C$17,$AG$331:$AJ$346,3,FALSE),"Insert the Building Type under EU 1.")</f>
        <v>Estimated Maximum Electricity Demand for EDUCATIONAL AND RESIDENTIAL Buildings [BEC 2012/ BEC 2012 (Rev.1)]</v>
      </c>
      <c r="D67" s="92"/>
      <c r="E67" s="544"/>
      <c r="F67" s="544"/>
      <c r="G67" s="544"/>
      <c r="H67" s="544"/>
      <c r="I67" s="506"/>
      <c r="J67" s="506"/>
      <c r="K67" s="506"/>
      <c r="L67" s="506"/>
      <c r="M67" s="540"/>
      <c r="N67" s="558"/>
      <c r="O67" s="573"/>
      <c r="P67" s="530"/>
      <c r="Q67" s="540"/>
      <c r="R67" s="558"/>
      <c r="S67" s="573"/>
      <c r="T67" s="530"/>
      <c r="U67" s="537"/>
      <c r="V67" s="537"/>
      <c r="W67" s="509"/>
      <c r="X67" s="16"/>
      <c r="Y67" s="16"/>
      <c r="Z67" s="16"/>
      <c r="AA67" s="16"/>
      <c r="AB67" s="16"/>
      <c r="AC67" s="16"/>
    </row>
    <row r="68" spans="1:29" ht="42" customHeight="1">
      <c r="A68" s="383" t="s">
        <v>250</v>
      </c>
      <c r="B68" s="234"/>
      <c r="C68" s="60" t="str">
        <f>IFERROR(VLOOKUP(C67,$AG:$AH,2,FALSE),"-")</f>
        <v>1 credit for a reduction in the maximum electricity demand by 8 %
2 credits for a reduction in the maximum electricity demand by 12 %
3 credits for a reduction in the maximum electricity demand by 15 %</v>
      </c>
      <c r="D68" s="92"/>
      <c r="E68" s="544"/>
      <c r="F68" s="544"/>
      <c r="G68" s="544"/>
      <c r="H68" s="544"/>
      <c r="I68" s="506"/>
      <c r="J68" s="506"/>
      <c r="K68" s="506"/>
      <c r="L68" s="506"/>
      <c r="M68" s="540"/>
      <c r="N68" s="558"/>
      <c r="O68" s="573"/>
      <c r="P68" s="530"/>
      <c r="Q68" s="540"/>
      <c r="R68" s="558"/>
      <c r="S68" s="573"/>
      <c r="T68" s="530"/>
      <c r="U68" s="537"/>
      <c r="V68" s="537"/>
      <c r="W68" s="509"/>
      <c r="X68" s="16"/>
      <c r="Y68" s="16"/>
      <c r="Z68" s="16"/>
      <c r="AA68" s="16"/>
      <c r="AB68" s="16"/>
      <c r="AC68" s="16"/>
    </row>
    <row r="69" spans="1:29" ht="12.75" customHeight="1">
      <c r="A69" s="358"/>
      <c r="B69" s="61"/>
      <c r="C69" s="60"/>
      <c r="D69" s="92"/>
      <c r="E69" s="544"/>
      <c r="F69" s="544"/>
      <c r="G69" s="544"/>
      <c r="H69" s="544"/>
      <c r="I69" s="506"/>
      <c r="J69" s="506"/>
      <c r="K69" s="506"/>
      <c r="L69" s="506"/>
      <c r="M69" s="540"/>
      <c r="N69" s="558"/>
      <c r="O69" s="573"/>
      <c r="P69" s="530"/>
      <c r="Q69" s="540"/>
      <c r="R69" s="558"/>
      <c r="S69" s="573"/>
      <c r="T69" s="530"/>
      <c r="U69" s="537"/>
      <c r="V69" s="537"/>
      <c r="W69" s="509"/>
      <c r="X69" s="16"/>
      <c r="Y69" s="16"/>
      <c r="Z69" s="16"/>
      <c r="AA69" s="16"/>
      <c r="AB69" s="16"/>
      <c r="AC69" s="16"/>
    </row>
    <row r="70" spans="1:29" ht="12.75">
      <c r="A70" s="358"/>
      <c r="B70" s="61"/>
      <c r="C70" s="224" t="s">
        <v>430</v>
      </c>
      <c r="D70" s="92"/>
      <c r="E70" s="544"/>
      <c r="F70" s="544"/>
      <c r="G70" s="544"/>
      <c r="H70" s="544"/>
      <c r="I70" s="506"/>
      <c r="J70" s="506"/>
      <c r="K70" s="506"/>
      <c r="L70" s="506"/>
      <c r="M70" s="540"/>
      <c r="N70" s="558"/>
      <c r="O70" s="573"/>
      <c r="P70" s="530"/>
      <c r="Q70" s="540"/>
      <c r="R70" s="558"/>
      <c r="S70" s="573"/>
      <c r="T70" s="530"/>
      <c r="U70" s="537"/>
      <c r="V70" s="537"/>
      <c r="W70" s="509"/>
      <c r="X70" s="16"/>
      <c r="Y70" s="16"/>
      <c r="Z70" s="16"/>
      <c r="AA70" s="16"/>
      <c r="AB70" s="16"/>
      <c r="AC70" s="16"/>
    </row>
    <row r="71" spans="1:29" ht="30" customHeight="1">
      <c r="A71" s="358"/>
      <c r="B71" s="61"/>
      <c r="C71" s="65" t="str">
        <f>"Category A   " &amp; IFERROR(VLOOKUP(E$66,$AF:$AG,2,FALSE),"")</f>
        <v xml:space="preserve">Category A   </v>
      </c>
      <c r="D71" s="92"/>
      <c r="E71" s="544"/>
      <c r="F71" s="544"/>
      <c r="G71" s="544"/>
      <c r="H71" s="544"/>
      <c r="I71" s="506"/>
      <c r="J71" s="506"/>
      <c r="K71" s="506"/>
      <c r="L71" s="506"/>
      <c r="M71" s="540"/>
      <c r="N71" s="558"/>
      <c r="O71" s="573"/>
      <c r="P71" s="530"/>
      <c r="Q71" s="540"/>
      <c r="R71" s="558"/>
      <c r="S71" s="573"/>
      <c r="T71" s="530"/>
      <c r="U71" s="537"/>
      <c r="V71" s="537"/>
      <c r="W71" s="509"/>
      <c r="X71" s="16"/>
      <c r="Y71" s="16"/>
      <c r="Z71" s="16"/>
      <c r="AA71" s="16"/>
      <c r="AB71" s="16"/>
      <c r="AC71" s="16"/>
    </row>
    <row r="72" spans="1:29" ht="30" customHeight="1">
      <c r="A72" s="358"/>
      <c r="B72" s="61"/>
      <c r="C72" s="65" t="str">
        <f>"Category B   " &amp; IFERROR(VLOOKUP(F$66,$AF:$AG,2,FALSE),"")</f>
        <v xml:space="preserve">Category B   </v>
      </c>
      <c r="D72" s="92"/>
      <c r="E72" s="544"/>
      <c r="F72" s="544"/>
      <c r="G72" s="544"/>
      <c r="H72" s="544"/>
      <c r="I72" s="506"/>
      <c r="J72" s="506"/>
      <c r="K72" s="506"/>
      <c r="L72" s="506"/>
      <c r="M72" s="540"/>
      <c r="N72" s="558"/>
      <c r="O72" s="573"/>
      <c r="P72" s="530"/>
      <c r="Q72" s="540"/>
      <c r="R72" s="558"/>
      <c r="S72" s="573"/>
      <c r="T72" s="530"/>
      <c r="U72" s="537"/>
      <c r="V72" s="537"/>
      <c r="W72" s="509"/>
      <c r="X72" s="16"/>
      <c r="Y72" s="16"/>
      <c r="Z72" s="16"/>
      <c r="AA72" s="16"/>
      <c r="AB72" s="16"/>
      <c r="AC72" s="16"/>
    </row>
    <row r="73" spans="1:29" ht="30" customHeight="1">
      <c r="A73" s="356"/>
      <c r="B73" s="61"/>
      <c r="C73" s="65" t="str">
        <f>"Category C   " &amp; IFERROR(VLOOKUP(G$66,$AF:$AG,2,FALSE),"")</f>
        <v xml:space="preserve">Category C   </v>
      </c>
      <c r="D73" s="92"/>
      <c r="E73" s="544"/>
      <c r="F73" s="544"/>
      <c r="G73" s="544"/>
      <c r="H73" s="544"/>
      <c r="I73" s="506"/>
      <c r="J73" s="506"/>
      <c r="K73" s="506"/>
      <c r="L73" s="506"/>
      <c r="M73" s="540"/>
      <c r="N73" s="558"/>
      <c r="O73" s="573"/>
      <c r="P73" s="530"/>
      <c r="Q73" s="540"/>
      <c r="R73" s="558"/>
      <c r="S73" s="573"/>
      <c r="T73" s="530"/>
      <c r="U73" s="537"/>
      <c r="V73" s="537"/>
      <c r="W73" s="509"/>
      <c r="X73" s="16"/>
      <c r="Y73" s="16"/>
      <c r="Z73" s="16"/>
      <c r="AA73" s="16"/>
      <c r="AB73" s="16"/>
      <c r="AC73" s="16"/>
    </row>
    <row r="74" spans="1:29" ht="30" customHeight="1">
      <c r="A74" s="357"/>
      <c r="B74" s="203"/>
      <c r="C74" s="193" t="str">
        <f>"Category D   " &amp; IFERROR(VLOOKUP(H$66,$AF:$AG,2,FALSE),"")</f>
        <v xml:space="preserve">Category D   </v>
      </c>
      <c r="D74" s="296"/>
      <c r="E74" s="544"/>
      <c r="F74" s="544"/>
      <c r="G74" s="544"/>
      <c r="H74" s="544"/>
      <c r="I74" s="506"/>
      <c r="J74" s="506"/>
      <c r="K74" s="506"/>
      <c r="L74" s="506"/>
      <c r="M74" s="540"/>
      <c r="N74" s="558"/>
      <c r="O74" s="573"/>
      <c r="P74" s="530"/>
      <c r="Q74" s="540"/>
      <c r="R74" s="558"/>
      <c r="S74" s="573"/>
      <c r="T74" s="530"/>
      <c r="U74" s="590"/>
      <c r="V74" s="590"/>
      <c r="W74" s="529"/>
      <c r="X74" s="16"/>
      <c r="Y74" s="16"/>
      <c r="Z74" s="16"/>
      <c r="AA74" s="16"/>
      <c r="AB74" s="16"/>
      <c r="AC74" s="16"/>
    </row>
    <row r="75" spans="1:29" ht="22.5" customHeight="1">
      <c r="A75" s="348">
        <v>4.2</v>
      </c>
      <c r="B75" s="126"/>
      <c r="C75" s="128" t="s">
        <v>89</v>
      </c>
      <c r="D75" s="349"/>
      <c r="E75" s="544"/>
      <c r="F75" s="544"/>
      <c r="G75" s="544"/>
      <c r="H75" s="544"/>
      <c r="I75" s="235"/>
      <c r="J75" s="236"/>
      <c r="K75" s="236"/>
      <c r="L75" s="236"/>
      <c r="M75" s="236"/>
      <c r="N75" s="236"/>
      <c r="O75" s="236"/>
      <c r="P75" s="236"/>
      <c r="Q75" s="236"/>
      <c r="R75" s="236"/>
      <c r="S75" s="236"/>
      <c r="T75" s="236"/>
      <c r="U75" s="237"/>
      <c r="V75" s="237"/>
      <c r="W75" s="304"/>
      <c r="X75" s="16"/>
      <c r="Y75" s="16"/>
      <c r="Z75" s="16"/>
      <c r="AA75" s="16"/>
      <c r="AB75" s="16"/>
      <c r="AC75" s="16"/>
    </row>
    <row r="76" spans="1:29" ht="22.5" customHeight="1">
      <c r="A76" s="350" t="s">
        <v>90</v>
      </c>
      <c r="B76" s="139"/>
      <c r="C76" s="161" t="s">
        <v>519</v>
      </c>
      <c r="D76" s="351"/>
      <c r="E76" s="544" t="str">
        <f>IF(Q76&lt;&gt;"",Q76,"")</f>
        <v/>
      </c>
      <c r="F76" s="544" t="str">
        <f>IF(R76&lt;&gt;"",R76,"")</f>
        <v/>
      </c>
      <c r="G76" s="544" t="str">
        <f>IF(S76&lt;&gt;"",S76,"")</f>
        <v/>
      </c>
      <c r="H76" s="544" t="str">
        <f>IF(T76&lt;&gt;"",T76,"")</f>
        <v/>
      </c>
      <c r="I76" s="506" t="str">
        <f>IF(Q76="NA","NA",IF(AND(Q76&lt;&gt;"",OR(Q76="NS",Q76&gt;=0)),1,"-"))</f>
        <v>-</v>
      </c>
      <c r="J76" s="506" t="str">
        <f>IF(R76="NA","NA",IF(AND(R76&lt;&gt;"",OR(R76="NS",R76&gt;=0)),1,"-"))</f>
        <v>-</v>
      </c>
      <c r="K76" s="506" t="str">
        <f>IF(S76="NA","NA",IF(AND(S76&lt;&gt;"",OR(S76="NS",S76&gt;=0)),1,"-"))</f>
        <v>-</v>
      </c>
      <c r="L76" s="506" t="str">
        <f>IF(T76="NA","NA",IF(AND(T76&lt;&gt;"",OR(T76="NS",T76&gt;=0)),1,"-"))</f>
        <v>-</v>
      </c>
      <c r="M76" s="540"/>
      <c r="N76" s="558"/>
      <c r="O76" s="573"/>
      <c r="P76" s="530"/>
      <c r="Q76" s="540"/>
      <c r="R76" s="558"/>
      <c r="S76" s="573"/>
      <c r="T76" s="530"/>
      <c r="U76" s="536"/>
      <c r="V76" s="535" t="e">
        <f>IF(COUNTIF(Q76:T83,"NA")/COUNTA(Q76:T83)=1,"NA","")</f>
        <v>#DIV/0!</v>
      </c>
      <c r="W76" s="535" t="str">
        <f>IF(COUNTIF(Q76:T83,0)&gt;0,0,"")</f>
        <v/>
      </c>
      <c r="X76" s="16"/>
      <c r="Y76" s="16"/>
      <c r="Z76" s="16"/>
      <c r="AA76" s="16"/>
      <c r="AB76" s="16"/>
      <c r="AC76" s="16"/>
    </row>
    <row r="77" spans="1:29" ht="38.25" customHeight="1">
      <c r="A77" s="383" t="s">
        <v>182</v>
      </c>
      <c r="B77" s="82"/>
      <c r="C77" s="60" t="s">
        <v>520</v>
      </c>
      <c r="D77" s="92"/>
      <c r="E77" s="544"/>
      <c r="F77" s="544"/>
      <c r="G77" s="544"/>
      <c r="H77" s="544"/>
      <c r="I77" s="506"/>
      <c r="J77" s="506"/>
      <c r="K77" s="506"/>
      <c r="L77" s="506"/>
      <c r="M77" s="540"/>
      <c r="N77" s="558"/>
      <c r="O77" s="573"/>
      <c r="P77" s="530"/>
      <c r="Q77" s="540"/>
      <c r="R77" s="558"/>
      <c r="S77" s="573"/>
      <c r="T77" s="530"/>
      <c r="U77" s="537"/>
      <c r="V77" s="509"/>
      <c r="W77" s="509"/>
      <c r="X77" s="16"/>
      <c r="Y77" s="16"/>
      <c r="Z77" s="16"/>
      <c r="AA77" s="16"/>
      <c r="AB77" s="16"/>
      <c r="AC77" s="16"/>
    </row>
    <row r="78" spans="1:29" ht="12.75">
      <c r="A78" s="355"/>
      <c r="B78" s="82"/>
      <c r="C78" s="60"/>
      <c r="D78" s="92"/>
      <c r="E78" s="544"/>
      <c r="F78" s="544"/>
      <c r="G78" s="544"/>
      <c r="H78" s="544"/>
      <c r="I78" s="506"/>
      <c r="J78" s="506"/>
      <c r="K78" s="506"/>
      <c r="L78" s="506"/>
      <c r="M78" s="540"/>
      <c r="N78" s="558"/>
      <c r="O78" s="573"/>
      <c r="P78" s="530"/>
      <c r="Q78" s="540"/>
      <c r="R78" s="558"/>
      <c r="S78" s="573"/>
      <c r="T78" s="530"/>
      <c r="U78" s="537"/>
      <c r="V78" s="509"/>
      <c r="W78" s="509"/>
      <c r="X78" s="16"/>
      <c r="Y78" s="16"/>
      <c r="Z78" s="16"/>
      <c r="AA78" s="16"/>
      <c r="AB78" s="16"/>
      <c r="AC78" s="16"/>
    </row>
    <row r="79" spans="1:29" ht="12.75">
      <c r="A79" s="355"/>
      <c r="B79" s="82"/>
      <c r="C79" s="224" t="s">
        <v>430</v>
      </c>
      <c r="D79" s="92"/>
      <c r="E79" s="544"/>
      <c r="F79" s="544"/>
      <c r="G79" s="544"/>
      <c r="H79" s="544"/>
      <c r="I79" s="506"/>
      <c r="J79" s="506"/>
      <c r="K79" s="506"/>
      <c r="L79" s="506"/>
      <c r="M79" s="540"/>
      <c r="N79" s="558"/>
      <c r="O79" s="573"/>
      <c r="P79" s="530"/>
      <c r="Q79" s="540"/>
      <c r="R79" s="558"/>
      <c r="S79" s="573"/>
      <c r="T79" s="530"/>
      <c r="U79" s="537"/>
      <c r="V79" s="509"/>
      <c r="W79" s="509"/>
      <c r="X79" s="16"/>
      <c r="Y79" s="16"/>
      <c r="Z79" s="16"/>
      <c r="AA79" s="16"/>
      <c r="AB79" s="16"/>
      <c r="AC79" s="16"/>
    </row>
    <row r="80" spans="1:29" ht="30" customHeight="1">
      <c r="A80" s="355"/>
      <c r="B80" s="82"/>
      <c r="C80" s="65" t="str">
        <f>"Category A   " &amp; IFERROR(VLOOKUP(E$76,$AF:$AG,2,FALSE),"")</f>
        <v xml:space="preserve">Category A   </v>
      </c>
      <c r="D80" s="92"/>
      <c r="E80" s="544"/>
      <c r="F80" s="544"/>
      <c r="G80" s="544"/>
      <c r="H80" s="544"/>
      <c r="I80" s="506"/>
      <c r="J80" s="506"/>
      <c r="K80" s="506"/>
      <c r="L80" s="506"/>
      <c r="M80" s="540"/>
      <c r="N80" s="558"/>
      <c r="O80" s="573"/>
      <c r="P80" s="530"/>
      <c r="Q80" s="540"/>
      <c r="R80" s="558"/>
      <c r="S80" s="573"/>
      <c r="T80" s="530"/>
      <c r="U80" s="537"/>
      <c r="V80" s="509"/>
      <c r="W80" s="509"/>
      <c r="X80" s="16"/>
      <c r="Y80" s="16"/>
      <c r="Z80" s="16"/>
      <c r="AA80" s="16"/>
      <c r="AB80" s="16"/>
      <c r="AC80" s="16"/>
    </row>
    <row r="81" spans="1:29" ht="30" customHeight="1">
      <c r="A81" s="355"/>
      <c r="B81" s="82"/>
      <c r="C81" s="65" t="str">
        <f>"Category B   " &amp; IFERROR(VLOOKUP(F$76,$AF:$AG,2,FALSE),"")</f>
        <v xml:space="preserve">Category B   </v>
      </c>
      <c r="D81" s="92"/>
      <c r="E81" s="544"/>
      <c r="F81" s="544"/>
      <c r="G81" s="544"/>
      <c r="H81" s="544"/>
      <c r="I81" s="506"/>
      <c r="J81" s="506"/>
      <c r="K81" s="506"/>
      <c r="L81" s="506"/>
      <c r="M81" s="540"/>
      <c r="N81" s="558"/>
      <c r="O81" s="573"/>
      <c r="P81" s="530"/>
      <c r="Q81" s="540"/>
      <c r="R81" s="558"/>
      <c r="S81" s="573"/>
      <c r="T81" s="530"/>
      <c r="U81" s="537"/>
      <c r="V81" s="509"/>
      <c r="W81" s="509"/>
      <c r="X81" s="16"/>
      <c r="Y81" s="16"/>
      <c r="Z81" s="16"/>
      <c r="AA81" s="16"/>
      <c r="AB81" s="16"/>
      <c r="AC81" s="16"/>
    </row>
    <row r="82" spans="1:29" ht="30" customHeight="1">
      <c r="A82" s="355"/>
      <c r="B82" s="82"/>
      <c r="C82" s="65" t="str">
        <f>"Category C   " &amp; IFERROR(VLOOKUP(G$76,$AF:$AG,2,FALSE),"")</f>
        <v xml:space="preserve">Category C   </v>
      </c>
      <c r="D82" s="92"/>
      <c r="E82" s="544"/>
      <c r="F82" s="544"/>
      <c r="G82" s="544"/>
      <c r="H82" s="544"/>
      <c r="I82" s="506"/>
      <c r="J82" s="506"/>
      <c r="K82" s="506"/>
      <c r="L82" s="506"/>
      <c r="M82" s="540"/>
      <c r="N82" s="558"/>
      <c r="O82" s="573"/>
      <c r="P82" s="530"/>
      <c r="Q82" s="540"/>
      <c r="R82" s="558"/>
      <c r="S82" s="573"/>
      <c r="T82" s="530"/>
      <c r="U82" s="537"/>
      <c r="V82" s="509"/>
      <c r="W82" s="509"/>
      <c r="X82" s="16"/>
      <c r="Y82" s="16"/>
      <c r="Z82" s="16"/>
      <c r="AA82" s="16"/>
      <c r="AB82" s="16"/>
      <c r="AC82" s="16"/>
    </row>
    <row r="83" spans="1:29" ht="30" customHeight="1">
      <c r="A83" s="355"/>
      <c r="B83" s="82"/>
      <c r="C83" s="65" t="str">
        <f>"Category D   " &amp; IFERROR(VLOOKUP(H$76,$AF:$AG,2,FALSE),"")</f>
        <v xml:space="preserve">Category D   </v>
      </c>
      <c r="D83" s="238"/>
      <c r="E83" s="544"/>
      <c r="F83" s="544"/>
      <c r="G83" s="544"/>
      <c r="H83" s="544"/>
      <c r="I83" s="506"/>
      <c r="J83" s="506"/>
      <c r="K83" s="506"/>
      <c r="L83" s="506"/>
      <c r="M83" s="540"/>
      <c r="N83" s="558"/>
      <c r="O83" s="573"/>
      <c r="P83" s="530"/>
      <c r="Q83" s="540"/>
      <c r="R83" s="558"/>
      <c r="S83" s="573"/>
      <c r="T83" s="530"/>
      <c r="U83" s="537"/>
      <c r="V83" s="509"/>
      <c r="W83" s="509"/>
      <c r="X83" s="16"/>
      <c r="Y83" s="16"/>
      <c r="Z83" s="16"/>
      <c r="AA83" s="16"/>
      <c r="AB83" s="16"/>
      <c r="AC83" s="16"/>
    </row>
    <row r="84" spans="1:29" ht="38.25" customHeight="1">
      <c r="A84" s="383" t="s">
        <v>192</v>
      </c>
      <c r="B84" s="384"/>
      <c r="C84" s="60" t="s">
        <v>251</v>
      </c>
      <c r="D84" s="238"/>
      <c r="E84" s="544" t="str">
        <f>IF(Q84=1,"1B",Q84)</f>
        <v>Insert No. of Credit(s) Here</v>
      </c>
      <c r="F84" s="544"/>
      <c r="G84" s="544"/>
      <c r="H84" s="544"/>
      <c r="I84" s="557" t="s">
        <v>60</v>
      </c>
      <c r="J84" s="557"/>
      <c r="K84" s="557"/>
      <c r="L84" s="557"/>
      <c r="M84" s="540" t="s">
        <v>435</v>
      </c>
      <c r="N84" s="540"/>
      <c r="O84" s="540"/>
      <c r="P84" s="540"/>
      <c r="Q84" s="540" t="s">
        <v>435</v>
      </c>
      <c r="R84" s="540"/>
      <c r="S84" s="540"/>
      <c r="T84" s="540"/>
      <c r="U84" s="537"/>
      <c r="V84" s="509" t="str">
        <f>IF(Q84="NA","NA","")</f>
        <v/>
      </c>
      <c r="W84" s="509" t="str">
        <f>IF(Q84=0,0,"")</f>
        <v/>
      </c>
      <c r="X84" s="16"/>
      <c r="Y84" s="16"/>
      <c r="Z84" s="16"/>
      <c r="AA84" s="16"/>
      <c r="AB84" s="16"/>
      <c r="AC84" s="16"/>
    </row>
    <row r="85" spans="1:29" ht="12.75">
      <c r="A85" s="355"/>
      <c r="B85" s="82"/>
      <c r="C85" s="60"/>
      <c r="D85" s="92"/>
      <c r="E85" s="544"/>
      <c r="F85" s="544"/>
      <c r="G85" s="544"/>
      <c r="H85" s="544"/>
      <c r="I85" s="557"/>
      <c r="J85" s="557"/>
      <c r="K85" s="557"/>
      <c r="L85" s="557"/>
      <c r="M85" s="540"/>
      <c r="N85" s="540"/>
      <c r="O85" s="540"/>
      <c r="P85" s="540"/>
      <c r="Q85" s="540"/>
      <c r="R85" s="540"/>
      <c r="S85" s="540"/>
      <c r="T85" s="540"/>
      <c r="U85" s="537"/>
      <c r="V85" s="509"/>
      <c r="W85" s="509"/>
      <c r="X85" s="16"/>
      <c r="Y85" s="16"/>
      <c r="Z85" s="16"/>
      <c r="AA85" s="16"/>
      <c r="AB85" s="16"/>
      <c r="AC85" s="16"/>
    </row>
    <row r="86" spans="1:29" ht="12.75">
      <c r="A86" s="574"/>
      <c r="B86" s="63"/>
      <c r="C86" s="224" t="s">
        <v>430</v>
      </c>
      <c r="D86" s="238"/>
      <c r="E86" s="544"/>
      <c r="F86" s="544"/>
      <c r="G86" s="544"/>
      <c r="H86" s="544"/>
      <c r="I86" s="557"/>
      <c r="J86" s="557"/>
      <c r="K86" s="557"/>
      <c r="L86" s="557"/>
      <c r="M86" s="540"/>
      <c r="N86" s="540"/>
      <c r="O86" s="540"/>
      <c r="P86" s="540"/>
      <c r="Q86" s="540"/>
      <c r="R86" s="540"/>
      <c r="S86" s="540"/>
      <c r="T86" s="540"/>
      <c r="U86" s="537"/>
      <c r="V86" s="509"/>
      <c r="W86" s="509"/>
      <c r="X86" s="16"/>
      <c r="Y86" s="16"/>
      <c r="Z86" s="16"/>
      <c r="AA86" s="16"/>
      <c r="AB86" s="16"/>
      <c r="AC86" s="16"/>
    </row>
    <row r="87" spans="1:29" ht="30" customHeight="1">
      <c r="A87" s="575"/>
      <c r="B87" s="360"/>
      <c r="C87" s="180" t="str">
        <f>IFERROR(VLOOKUP($E84,$AF:$AG,2,FALSE),"-")</f>
        <v>-</v>
      </c>
      <c r="D87" s="296"/>
      <c r="E87" s="544"/>
      <c r="F87" s="544"/>
      <c r="G87" s="544"/>
      <c r="H87" s="544"/>
      <c r="I87" s="557"/>
      <c r="J87" s="557"/>
      <c r="K87" s="557"/>
      <c r="L87" s="557"/>
      <c r="M87" s="540"/>
      <c r="N87" s="540"/>
      <c r="O87" s="540"/>
      <c r="P87" s="540"/>
      <c r="Q87" s="540"/>
      <c r="R87" s="540"/>
      <c r="S87" s="540"/>
      <c r="T87" s="540"/>
      <c r="U87" s="538"/>
      <c r="V87" s="529"/>
      <c r="W87" s="510"/>
      <c r="X87" s="16"/>
      <c r="Y87" s="16"/>
      <c r="Z87" s="16"/>
      <c r="AA87" s="16"/>
      <c r="AB87" s="16"/>
      <c r="AC87" s="16"/>
    </row>
    <row r="88" spans="1:29" ht="22.5" customHeight="1">
      <c r="A88" s="350" t="s">
        <v>91</v>
      </c>
      <c r="B88" s="139"/>
      <c r="C88" s="161" t="s">
        <v>521</v>
      </c>
      <c r="D88" s="351"/>
      <c r="E88" s="544" t="str">
        <f>IF(Q88&lt;&gt;"",Q88,"")</f>
        <v/>
      </c>
      <c r="F88" s="544" t="str">
        <f>IF(R88&lt;&gt;"",R88,"")</f>
        <v/>
      </c>
      <c r="G88" s="544" t="str">
        <f>IF(S88&lt;&gt;"",S88,"")</f>
        <v/>
      </c>
      <c r="H88" s="544" t="str">
        <f>IF(T88&lt;&gt;"",T88,"")</f>
        <v/>
      </c>
      <c r="I88" s="506" t="str">
        <f>IF(Q88="NA","NA",IF(AND(Q88&lt;&gt;"",OR(Q88="NS",Q88&gt;=0)),2,"-"))</f>
        <v>-</v>
      </c>
      <c r="J88" s="506" t="str">
        <f>IF(R88="NA","NA",IF(AND(R88&lt;&gt;"",OR(R88="NS",R88&gt;=0)),2,"-"))</f>
        <v>-</v>
      </c>
      <c r="K88" s="506" t="str">
        <f>IF(S88="NA","NA",IF(AND(S88&lt;&gt;"",OR(S88="NS",S88&gt;=0)),2,"-"))</f>
        <v>-</v>
      </c>
      <c r="L88" s="506" t="str">
        <f>IF(T88="NA","NA",IF(AND(T88&lt;&gt;"",OR(T88="NS",T88&gt;=0)),2,"-"))</f>
        <v>-</v>
      </c>
      <c r="M88" s="540"/>
      <c r="N88" s="558"/>
      <c r="O88" s="573"/>
      <c r="P88" s="530"/>
      <c r="Q88" s="540"/>
      <c r="R88" s="558"/>
      <c r="S88" s="573"/>
      <c r="T88" s="530"/>
      <c r="U88" s="531" t="s">
        <v>39</v>
      </c>
      <c r="V88" s="535" t="e">
        <f>IF(COUNTIF(Q88:T95,"NA")/COUNTA(Q88:T95)=1,"NA","")</f>
        <v>#DIV/0!</v>
      </c>
      <c r="W88" s="535" t="str">
        <f>IF(COUNTIF(Q88:T95,0)&gt;0,0,"")</f>
        <v/>
      </c>
      <c r="X88" s="16"/>
      <c r="Y88" s="16"/>
      <c r="Z88" s="16"/>
      <c r="AA88" s="16"/>
      <c r="AB88" s="16"/>
      <c r="AC88" s="16"/>
    </row>
    <row r="89" spans="1:29" ht="38.25" customHeight="1">
      <c r="A89" s="383" t="s">
        <v>178</v>
      </c>
      <c r="B89" s="82"/>
      <c r="C89" s="92" t="s">
        <v>439</v>
      </c>
      <c r="D89" s="92"/>
      <c r="E89" s="544"/>
      <c r="F89" s="544"/>
      <c r="G89" s="544"/>
      <c r="H89" s="544"/>
      <c r="I89" s="506"/>
      <c r="J89" s="506"/>
      <c r="K89" s="506"/>
      <c r="L89" s="506"/>
      <c r="M89" s="540"/>
      <c r="N89" s="558"/>
      <c r="O89" s="573"/>
      <c r="P89" s="530"/>
      <c r="Q89" s="540"/>
      <c r="R89" s="558"/>
      <c r="S89" s="573"/>
      <c r="T89" s="530"/>
      <c r="U89" s="533"/>
      <c r="V89" s="509"/>
      <c r="W89" s="509"/>
      <c r="X89" s="16"/>
      <c r="Y89" s="16"/>
      <c r="Z89" s="16"/>
      <c r="AA89" s="16"/>
      <c r="AB89" s="16"/>
      <c r="AC89" s="16"/>
    </row>
    <row r="90" spans="1:29" ht="12.75">
      <c r="A90" s="355"/>
      <c r="B90" s="60"/>
      <c r="C90" s="85"/>
      <c r="D90" s="92"/>
      <c r="E90" s="544"/>
      <c r="F90" s="544"/>
      <c r="G90" s="544"/>
      <c r="H90" s="544"/>
      <c r="I90" s="506"/>
      <c r="J90" s="506"/>
      <c r="K90" s="506"/>
      <c r="L90" s="506"/>
      <c r="M90" s="540"/>
      <c r="N90" s="558"/>
      <c r="O90" s="573"/>
      <c r="P90" s="530"/>
      <c r="Q90" s="540"/>
      <c r="R90" s="558"/>
      <c r="S90" s="573"/>
      <c r="T90" s="530"/>
      <c r="U90" s="533"/>
      <c r="V90" s="509"/>
      <c r="W90" s="509"/>
      <c r="X90" s="16"/>
      <c r="Y90" s="16"/>
      <c r="Z90" s="16"/>
      <c r="AA90" s="16"/>
      <c r="AB90" s="16"/>
      <c r="AC90" s="16"/>
    </row>
    <row r="91" spans="1:29" ht="12.75">
      <c r="A91" s="355"/>
      <c r="B91" s="82"/>
      <c r="C91" s="224" t="s">
        <v>430</v>
      </c>
      <c r="D91" s="92"/>
      <c r="E91" s="544"/>
      <c r="F91" s="544"/>
      <c r="G91" s="544"/>
      <c r="H91" s="544"/>
      <c r="I91" s="506"/>
      <c r="J91" s="506"/>
      <c r="K91" s="506"/>
      <c r="L91" s="506"/>
      <c r="M91" s="540"/>
      <c r="N91" s="558"/>
      <c r="O91" s="573"/>
      <c r="P91" s="530"/>
      <c r="Q91" s="540"/>
      <c r="R91" s="558"/>
      <c r="S91" s="573"/>
      <c r="T91" s="530"/>
      <c r="U91" s="533"/>
      <c r="V91" s="509"/>
      <c r="W91" s="509"/>
      <c r="X91" s="16"/>
      <c r="Y91" s="16"/>
      <c r="Z91" s="16"/>
      <c r="AA91" s="16"/>
      <c r="AB91" s="16"/>
      <c r="AC91" s="16"/>
    </row>
    <row r="92" spans="1:29" ht="30" customHeight="1">
      <c r="A92" s="355"/>
      <c r="B92" s="82"/>
      <c r="C92" s="65" t="str">
        <f>"Category A   " &amp; IFERROR(VLOOKUP(E$88,$AF:$AG,2,FALSE),"")</f>
        <v xml:space="preserve">Category A   </v>
      </c>
      <c r="D92" s="92"/>
      <c r="E92" s="544"/>
      <c r="F92" s="544"/>
      <c r="G92" s="544"/>
      <c r="H92" s="544"/>
      <c r="I92" s="506"/>
      <c r="J92" s="506"/>
      <c r="K92" s="506"/>
      <c r="L92" s="506"/>
      <c r="M92" s="540"/>
      <c r="N92" s="558"/>
      <c r="O92" s="573"/>
      <c r="P92" s="530"/>
      <c r="Q92" s="540"/>
      <c r="R92" s="558"/>
      <c r="S92" s="573"/>
      <c r="T92" s="530"/>
      <c r="U92" s="533"/>
      <c r="V92" s="509"/>
      <c r="W92" s="509"/>
      <c r="X92" s="16"/>
      <c r="Y92" s="16"/>
      <c r="Z92" s="16"/>
      <c r="AA92" s="16"/>
      <c r="AB92" s="16"/>
      <c r="AC92" s="16"/>
    </row>
    <row r="93" spans="1:29" ht="30" customHeight="1">
      <c r="A93" s="355"/>
      <c r="B93" s="82"/>
      <c r="C93" s="65" t="str">
        <f>"Category B   " &amp; IFERROR(VLOOKUP(F$88,$AF:$AG,2,FALSE),"")</f>
        <v xml:space="preserve">Category B   </v>
      </c>
      <c r="D93" s="92"/>
      <c r="E93" s="544"/>
      <c r="F93" s="544"/>
      <c r="G93" s="544"/>
      <c r="H93" s="544"/>
      <c r="I93" s="506"/>
      <c r="J93" s="506"/>
      <c r="K93" s="506"/>
      <c r="L93" s="506"/>
      <c r="M93" s="540"/>
      <c r="N93" s="558"/>
      <c r="O93" s="573"/>
      <c r="P93" s="530"/>
      <c r="Q93" s="540"/>
      <c r="R93" s="558"/>
      <c r="S93" s="573"/>
      <c r="T93" s="530"/>
      <c r="U93" s="533"/>
      <c r="V93" s="509"/>
      <c r="W93" s="509"/>
      <c r="X93" s="16"/>
      <c r="Y93" s="16"/>
      <c r="Z93" s="16"/>
      <c r="AA93" s="16"/>
      <c r="AB93" s="16"/>
      <c r="AC93" s="16"/>
    </row>
    <row r="94" spans="1:29" ht="30" customHeight="1">
      <c r="A94" s="355"/>
      <c r="B94" s="82"/>
      <c r="C94" s="65" t="str">
        <f>"Category C   " &amp; IFERROR(VLOOKUP(G$88,$AF:$AG,2,FALSE),"")</f>
        <v xml:space="preserve">Category C   </v>
      </c>
      <c r="D94" s="92"/>
      <c r="E94" s="544"/>
      <c r="F94" s="544"/>
      <c r="G94" s="544"/>
      <c r="H94" s="544"/>
      <c r="I94" s="506"/>
      <c r="J94" s="506"/>
      <c r="K94" s="506"/>
      <c r="L94" s="506"/>
      <c r="M94" s="540"/>
      <c r="N94" s="558"/>
      <c r="O94" s="573"/>
      <c r="P94" s="530"/>
      <c r="Q94" s="540"/>
      <c r="R94" s="558"/>
      <c r="S94" s="573"/>
      <c r="T94" s="530"/>
      <c r="U94" s="533"/>
      <c r="V94" s="509"/>
      <c r="W94" s="509"/>
      <c r="X94" s="16"/>
      <c r="Y94" s="16"/>
      <c r="Z94" s="16"/>
      <c r="AA94" s="16"/>
      <c r="AB94" s="16"/>
      <c r="AC94" s="16"/>
    </row>
    <row r="95" spans="1:29" ht="30" customHeight="1">
      <c r="A95" s="359"/>
      <c r="B95" s="183"/>
      <c r="C95" s="193" t="str">
        <f>"Category D   " &amp; IFERROR(VLOOKUP(H$88,$AF:$AG,2,FALSE),"")</f>
        <v xml:space="preserve">Category D   </v>
      </c>
      <c r="D95" s="296"/>
      <c r="E95" s="544"/>
      <c r="F95" s="544"/>
      <c r="G95" s="544"/>
      <c r="H95" s="544"/>
      <c r="I95" s="506"/>
      <c r="J95" s="506"/>
      <c r="K95" s="506"/>
      <c r="L95" s="506"/>
      <c r="M95" s="540"/>
      <c r="N95" s="558"/>
      <c r="O95" s="573"/>
      <c r="P95" s="530"/>
      <c r="Q95" s="540"/>
      <c r="R95" s="558"/>
      <c r="S95" s="573"/>
      <c r="T95" s="530"/>
      <c r="U95" s="534"/>
      <c r="V95" s="509"/>
      <c r="W95" s="509"/>
      <c r="X95" s="16"/>
      <c r="Y95" s="16"/>
      <c r="Z95" s="16"/>
      <c r="AA95" s="16"/>
      <c r="AB95" s="16"/>
      <c r="AC95" s="16"/>
    </row>
    <row r="96" spans="1:29" ht="22.5" customHeight="1">
      <c r="A96" s="350" t="s">
        <v>92</v>
      </c>
      <c r="B96" s="139"/>
      <c r="C96" s="161" t="s">
        <v>522</v>
      </c>
      <c r="D96" s="351"/>
      <c r="E96" s="544" t="str">
        <f>IF(Q96&lt;&gt;"",Q96,"")</f>
        <v/>
      </c>
      <c r="F96" s="544" t="str">
        <f>IF(R96&lt;&gt;"",R96,"")</f>
        <v/>
      </c>
      <c r="G96" s="544" t="str">
        <f>IF(S96&lt;&gt;"",S96,"")</f>
        <v/>
      </c>
      <c r="H96" s="544" t="str">
        <f>IF(T96&lt;&gt;"",T96,"")</f>
        <v/>
      </c>
      <c r="I96" s="506" t="str">
        <f>IF(Q96="NA","NA",IF(AND(Q96&lt;&gt;"",OR(Q96="NS",Q96&gt;=0)),2,"-"))</f>
        <v>-</v>
      </c>
      <c r="J96" s="543" t="str">
        <f>IF(R96="NA","NA",IF(AND(R96&lt;&gt;"",OR(R96="NS",R96&gt;=0)),2,"-"))</f>
        <v>-</v>
      </c>
      <c r="K96" s="543" t="str">
        <f>IF(S96="NA","NA",IF(AND(S96&lt;&gt;"",OR(S96="NS",S96&gt;=0)),2,"-"))</f>
        <v>-</v>
      </c>
      <c r="L96" s="543" t="str">
        <f>IF(T96="NA","NA",IF(AND(T96&lt;&gt;"",OR(T96="NS",T96&gt;=0)),2,"-"))</f>
        <v>-</v>
      </c>
      <c r="M96" s="540"/>
      <c r="N96" s="542"/>
      <c r="O96" s="541"/>
      <c r="P96" s="556"/>
      <c r="Q96" s="540"/>
      <c r="R96" s="542"/>
      <c r="S96" s="541"/>
      <c r="T96" s="556"/>
      <c r="U96" s="531" t="s">
        <v>39</v>
      </c>
      <c r="V96" s="535" t="e">
        <f>IF(COUNTIF(Q96:T103,"NA")/COUNTA(Q96:T103)=1,"NA","")</f>
        <v>#DIV/0!</v>
      </c>
      <c r="W96" s="535" t="str">
        <f>IF(COUNTIF(Q96:T103,0)&gt;0,0,"")</f>
        <v/>
      </c>
      <c r="X96" s="16"/>
      <c r="Y96" s="16"/>
      <c r="Z96" s="16"/>
      <c r="AA96" s="16"/>
      <c r="AB96" s="16"/>
      <c r="AC96" s="16"/>
    </row>
    <row r="97" spans="1:29" ht="51" customHeight="1">
      <c r="A97" s="383" t="s">
        <v>243</v>
      </c>
      <c r="B97" s="82"/>
      <c r="C97" s="92" t="s">
        <v>428</v>
      </c>
      <c r="D97" s="92"/>
      <c r="E97" s="544"/>
      <c r="F97" s="544"/>
      <c r="G97" s="544"/>
      <c r="H97" s="544"/>
      <c r="I97" s="506"/>
      <c r="J97" s="543"/>
      <c r="K97" s="543"/>
      <c r="L97" s="543"/>
      <c r="M97" s="540"/>
      <c r="N97" s="542"/>
      <c r="O97" s="541"/>
      <c r="P97" s="556"/>
      <c r="Q97" s="540"/>
      <c r="R97" s="542"/>
      <c r="S97" s="541"/>
      <c r="T97" s="556"/>
      <c r="U97" s="533"/>
      <c r="V97" s="509"/>
      <c r="W97" s="509"/>
      <c r="X97" s="16"/>
      <c r="Y97" s="16"/>
      <c r="Z97" s="16"/>
      <c r="AA97" s="16"/>
      <c r="AB97" s="16"/>
      <c r="AC97" s="16"/>
    </row>
    <row r="98" spans="1:29" ht="12.75">
      <c r="A98" s="356"/>
      <c r="B98" s="61"/>
      <c r="C98" s="85"/>
      <c r="D98" s="92"/>
      <c r="E98" s="544"/>
      <c r="F98" s="544"/>
      <c r="G98" s="544"/>
      <c r="H98" s="544"/>
      <c r="I98" s="506"/>
      <c r="J98" s="543"/>
      <c r="K98" s="543"/>
      <c r="L98" s="543"/>
      <c r="M98" s="540"/>
      <c r="N98" s="542"/>
      <c r="O98" s="541"/>
      <c r="P98" s="556"/>
      <c r="Q98" s="540"/>
      <c r="R98" s="542"/>
      <c r="S98" s="541"/>
      <c r="T98" s="556"/>
      <c r="U98" s="533"/>
      <c r="V98" s="509"/>
      <c r="W98" s="509"/>
      <c r="X98" s="16"/>
      <c r="Y98" s="16"/>
      <c r="Z98" s="16"/>
      <c r="AA98" s="16"/>
      <c r="AB98" s="16"/>
      <c r="AC98" s="16"/>
    </row>
    <row r="99" spans="1:29" ht="12.75">
      <c r="A99" s="355"/>
      <c r="B99" s="82"/>
      <c r="C99" s="224" t="s">
        <v>430</v>
      </c>
      <c r="D99" s="92"/>
      <c r="E99" s="544"/>
      <c r="F99" s="544"/>
      <c r="G99" s="544"/>
      <c r="H99" s="544"/>
      <c r="I99" s="506"/>
      <c r="J99" s="543"/>
      <c r="K99" s="543"/>
      <c r="L99" s="543"/>
      <c r="M99" s="540"/>
      <c r="N99" s="542"/>
      <c r="O99" s="541"/>
      <c r="P99" s="556"/>
      <c r="Q99" s="540"/>
      <c r="R99" s="542"/>
      <c r="S99" s="541"/>
      <c r="T99" s="556"/>
      <c r="U99" s="533"/>
      <c r="V99" s="509"/>
      <c r="W99" s="509"/>
      <c r="X99" s="16"/>
      <c r="Y99" s="16"/>
      <c r="Z99" s="16"/>
      <c r="AA99" s="16"/>
      <c r="AB99" s="16"/>
      <c r="AC99" s="16"/>
    </row>
    <row r="100" spans="1:29" ht="30" customHeight="1">
      <c r="A100" s="355"/>
      <c r="B100" s="82"/>
      <c r="C100" s="65" t="str">
        <f>"Category A   " &amp; IFERROR(VLOOKUP(E$96,$AF:$AG,2,FALSE),"")</f>
        <v xml:space="preserve">Category A   </v>
      </c>
      <c r="D100" s="92"/>
      <c r="E100" s="544"/>
      <c r="F100" s="544"/>
      <c r="G100" s="544"/>
      <c r="H100" s="544"/>
      <c r="I100" s="506"/>
      <c r="J100" s="543"/>
      <c r="K100" s="543"/>
      <c r="L100" s="543"/>
      <c r="M100" s="540"/>
      <c r="N100" s="542"/>
      <c r="O100" s="541"/>
      <c r="P100" s="556"/>
      <c r="Q100" s="540"/>
      <c r="R100" s="542"/>
      <c r="S100" s="541"/>
      <c r="T100" s="556"/>
      <c r="U100" s="533"/>
      <c r="V100" s="509"/>
      <c r="W100" s="509"/>
      <c r="X100" s="16"/>
      <c r="Y100" s="16"/>
      <c r="Z100" s="16"/>
      <c r="AA100" s="16"/>
      <c r="AB100" s="16"/>
      <c r="AC100" s="16"/>
    </row>
    <row r="101" spans="1:29" ht="30" customHeight="1">
      <c r="A101" s="355"/>
      <c r="B101" s="82"/>
      <c r="C101" s="65" t="str">
        <f>"Category B   " &amp; IFERROR(VLOOKUP(F$96,$AF:$AG,2,FALSE),"")</f>
        <v xml:space="preserve">Category B   </v>
      </c>
      <c r="D101" s="92"/>
      <c r="E101" s="544"/>
      <c r="F101" s="544"/>
      <c r="G101" s="544"/>
      <c r="H101" s="544"/>
      <c r="I101" s="506"/>
      <c r="J101" s="543"/>
      <c r="K101" s="543"/>
      <c r="L101" s="543"/>
      <c r="M101" s="540"/>
      <c r="N101" s="542"/>
      <c r="O101" s="541"/>
      <c r="P101" s="556"/>
      <c r="Q101" s="540"/>
      <c r="R101" s="542"/>
      <c r="S101" s="541"/>
      <c r="T101" s="556"/>
      <c r="U101" s="533"/>
      <c r="V101" s="509"/>
      <c r="W101" s="509"/>
      <c r="X101" s="16"/>
      <c r="Y101" s="16"/>
      <c r="Z101" s="16"/>
      <c r="AA101" s="16"/>
      <c r="AB101" s="16"/>
      <c r="AC101" s="16"/>
    </row>
    <row r="102" spans="1:29" ht="30" customHeight="1">
      <c r="A102" s="355"/>
      <c r="B102" s="82"/>
      <c r="C102" s="65" t="str">
        <f>"Category C   " &amp; IFERROR(VLOOKUP(G$96,$AF:$AG,2,FALSE),"")</f>
        <v xml:space="preserve">Category C   </v>
      </c>
      <c r="D102" s="92"/>
      <c r="E102" s="544"/>
      <c r="F102" s="544"/>
      <c r="G102" s="544"/>
      <c r="H102" s="544"/>
      <c r="I102" s="506"/>
      <c r="J102" s="543"/>
      <c r="K102" s="543"/>
      <c r="L102" s="543"/>
      <c r="M102" s="540"/>
      <c r="N102" s="542"/>
      <c r="O102" s="541"/>
      <c r="P102" s="556"/>
      <c r="Q102" s="540"/>
      <c r="R102" s="542"/>
      <c r="S102" s="541"/>
      <c r="T102" s="556"/>
      <c r="U102" s="533"/>
      <c r="V102" s="509"/>
      <c r="W102" s="509"/>
      <c r="X102" s="16"/>
      <c r="Y102" s="16"/>
      <c r="Z102" s="16"/>
      <c r="AA102" s="16"/>
      <c r="AB102" s="16"/>
      <c r="AC102" s="16"/>
    </row>
    <row r="103" spans="1:29" ht="30" customHeight="1">
      <c r="A103" s="359"/>
      <c r="B103" s="183"/>
      <c r="C103" s="193" t="str">
        <f>"Category D   " &amp; IFERROR(VLOOKUP(H$96,$AF:$AG,2,FALSE),"")</f>
        <v xml:space="preserve">Category D   </v>
      </c>
      <c r="D103" s="296"/>
      <c r="E103" s="544"/>
      <c r="F103" s="544"/>
      <c r="G103" s="544"/>
      <c r="H103" s="544"/>
      <c r="I103" s="506"/>
      <c r="J103" s="543"/>
      <c r="K103" s="543"/>
      <c r="L103" s="543"/>
      <c r="M103" s="540"/>
      <c r="N103" s="542"/>
      <c r="O103" s="541"/>
      <c r="P103" s="556"/>
      <c r="Q103" s="540"/>
      <c r="R103" s="542"/>
      <c r="S103" s="541"/>
      <c r="T103" s="556"/>
      <c r="U103" s="534"/>
      <c r="V103" s="509"/>
      <c r="W103" s="509"/>
      <c r="X103" s="16"/>
      <c r="Y103" s="16"/>
      <c r="Z103" s="16"/>
      <c r="AA103" s="16"/>
      <c r="AB103" s="16"/>
      <c r="AC103" s="16"/>
    </row>
    <row r="104" spans="1:29" ht="22.5" customHeight="1">
      <c r="A104" s="350" t="s">
        <v>93</v>
      </c>
      <c r="B104" s="139"/>
      <c r="C104" s="161" t="s">
        <v>253</v>
      </c>
      <c r="D104" s="351"/>
      <c r="E104" s="544" t="str">
        <f>IF(Q104&lt;&gt;"",Q104,"")</f>
        <v/>
      </c>
      <c r="F104" s="544" t="str">
        <f>IF(R104&lt;&gt;"",R104,"")</f>
        <v/>
      </c>
      <c r="G104" s="544" t="str">
        <f>IF(S104&lt;&gt;"",S104,"")</f>
        <v/>
      </c>
      <c r="H104" s="544" t="str">
        <f>IF(T104&lt;&gt;"",T104,"")</f>
        <v/>
      </c>
      <c r="I104" s="506" t="str">
        <f>IF(Q104="NA","NA",IF(AND(Q104&lt;&gt;"",OR(Q104="NS",Q104&gt;=0)),5,"-"))</f>
        <v>-</v>
      </c>
      <c r="J104" s="543" t="str">
        <f>IF(R104="NA","NA",IF(AND(R104&lt;&gt;"",OR(R104="NS",R104&gt;=0)),5,"-"))</f>
        <v>-</v>
      </c>
      <c r="K104" s="543" t="str">
        <f>IF(S104="NA","NA",IF(AND(S104&lt;&gt;"",OR(S104="NS",S104&gt;=0)),5,"-"))</f>
        <v>-</v>
      </c>
      <c r="L104" s="543" t="str">
        <f>IF(T104="NA","NA",IF(AND(T104&lt;&gt;"",OR(T104="NS",T104&gt;=0)),5,"-"))</f>
        <v>-</v>
      </c>
      <c r="M104" s="540"/>
      <c r="N104" s="542"/>
      <c r="O104" s="541"/>
      <c r="P104" s="556"/>
      <c r="Q104" s="540"/>
      <c r="R104" s="542"/>
      <c r="S104" s="541"/>
      <c r="T104" s="556"/>
      <c r="U104" s="531"/>
      <c r="V104" s="535" t="e">
        <f>IF(COUNTIF(Q104:T111,"NA")/COUNTA(Q104:T111)=1,"NA","")</f>
        <v>#DIV/0!</v>
      </c>
      <c r="W104" s="535" t="str">
        <f>IF(COUNTIF(Q104:T111,0)&gt;0,0,"")</f>
        <v/>
      </c>
      <c r="X104" s="16"/>
      <c r="Y104" s="16"/>
      <c r="Z104" s="16"/>
      <c r="AA104" s="16"/>
      <c r="AB104" s="16"/>
      <c r="AC104" s="16"/>
    </row>
    <row r="105" spans="1:29" ht="191.25" customHeight="1">
      <c r="A105" s="383" t="s">
        <v>252</v>
      </c>
      <c r="B105" s="82"/>
      <c r="C105" s="60" t="s">
        <v>523</v>
      </c>
      <c r="D105" s="92"/>
      <c r="E105" s="544"/>
      <c r="F105" s="544"/>
      <c r="G105" s="544"/>
      <c r="H105" s="544"/>
      <c r="I105" s="506"/>
      <c r="J105" s="543"/>
      <c r="K105" s="543"/>
      <c r="L105" s="543"/>
      <c r="M105" s="540"/>
      <c r="N105" s="542"/>
      <c r="O105" s="541"/>
      <c r="P105" s="556"/>
      <c r="Q105" s="540"/>
      <c r="R105" s="542"/>
      <c r="S105" s="541"/>
      <c r="T105" s="556"/>
      <c r="U105" s="533"/>
      <c r="V105" s="509"/>
      <c r="W105" s="509"/>
      <c r="X105" s="16"/>
      <c r="Y105" s="16"/>
      <c r="Z105" s="16"/>
      <c r="AA105" s="16"/>
      <c r="AB105" s="16"/>
      <c r="AC105" s="16"/>
    </row>
    <row r="106" spans="1:29" ht="12.75">
      <c r="A106" s="356"/>
      <c r="B106" s="61"/>
      <c r="C106" s="60"/>
      <c r="D106" s="92"/>
      <c r="E106" s="544"/>
      <c r="F106" s="544"/>
      <c r="G106" s="544"/>
      <c r="H106" s="544"/>
      <c r="I106" s="506"/>
      <c r="J106" s="543"/>
      <c r="K106" s="543"/>
      <c r="L106" s="543"/>
      <c r="M106" s="540"/>
      <c r="N106" s="542"/>
      <c r="O106" s="541"/>
      <c r="P106" s="556"/>
      <c r="Q106" s="540"/>
      <c r="R106" s="542"/>
      <c r="S106" s="541"/>
      <c r="T106" s="556"/>
      <c r="U106" s="533"/>
      <c r="V106" s="509"/>
      <c r="W106" s="509"/>
      <c r="X106" s="16"/>
      <c r="Y106" s="16"/>
      <c r="Z106" s="16"/>
      <c r="AA106" s="16"/>
      <c r="AB106" s="16"/>
      <c r="AC106" s="16"/>
    </row>
    <row r="107" spans="1:29" ht="12.75">
      <c r="A107" s="355"/>
      <c r="B107" s="82"/>
      <c r="C107" s="224" t="s">
        <v>430</v>
      </c>
      <c r="D107" s="92"/>
      <c r="E107" s="544"/>
      <c r="F107" s="544"/>
      <c r="G107" s="544"/>
      <c r="H107" s="544"/>
      <c r="I107" s="506"/>
      <c r="J107" s="543"/>
      <c r="K107" s="543"/>
      <c r="L107" s="543"/>
      <c r="M107" s="540"/>
      <c r="N107" s="542"/>
      <c r="O107" s="541"/>
      <c r="P107" s="556"/>
      <c r="Q107" s="540"/>
      <c r="R107" s="542"/>
      <c r="S107" s="541"/>
      <c r="T107" s="556"/>
      <c r="U107" s="533"/>
      <c r="V107" s="509"/>
      <c r="W107" s="509"/>
      <c r="X107" s="16"/>
      <c r="Y107" s="16"/>
      <c r="Z107" s="16"/>
      <c r="AA107" s="16"/>
      <c r="AB107" s="16"/>
      <c r="AC107" s="16"/>
    </row>
    <row r="108" spans="1:29" ht="30" customHeight="1">
      <c r="A108" s="355"/>
      <c r="B108" s="82"/>
      <c r="C108" s="65" t="str">
        <f>"Category A   " &amp; IFERROR(VLOOKUP(E$104,$AF:$AG,2,FALSE),"")</f>
        <v xml:space="preserve">Category A   </v>
      </c>
      <c r="D108" s="92"/>
      <c r="E108" s="544"/>
      <c r="F108" s="544"/>
      <c r="G108" s="544"/>
      <c r="H108" s="544"/>
      <c r="I108" s="506"/>
      <c r="J108" s="543"/>
      <c r="K108" s="543"/>
      <c r="L108" s="543"/>
      <c r="M108" s="540"/>
      <c r="N108" s="542"/>
      <c r="O108" s="541"/>
      <c r="P108" s="556"/>
      <c r="Q108" s="540"/>
      <c r="R108" s="542"/>
      <c r="S108" s="541"/>
      <c r="T108" s="556"/>
      <c r="U108" s="533"/>
      <c r="V108" s="509"/>
      <c r="W108" s="509"/>
      <c r="X108" s="16"/>
      <c r="Y108" s="16"/>
      <c r="Z108" s="16"/>
      <c r="AA108" s="16"/>
      <c r="AB108" s="16"/>
      <c r="AC108" s="16"/>
    </row>
    <row r="109" spans="1:29" ht="30" customHeight="1">
      <c r="A109" s="355"/>
      <c r="B109" s="82"/>
      <c r="C109" s="65" t="str">
        <f>"Category B   " &amp; IFERROR(VLOOKUP(F$104,$AF:$AG,2,FALSE),"")</f>
        <v xml:space="preserve">Category B   </v>
      </c>
      <c r="D109" s="92"/>
      <c r="E109" s="544"/>
      <c r="F109" s="544"/>
      <c r="G109" s="544"/>
      <c r="H109" s="544"/>
      <c r="I109" s="506"/>
      <c r="J109" s="543"/>
      <c r="K109" s="543"/>
      <c r="L109" s="543"/>
      <c r="M109" s="540"/>
      <c r="N109" s="542"/>
      <c r="O109" s="541"/>
      <c r="P109" s="556"/>
      <c r="Q109" s="540"/>
      <c r="R109" s="542"/>
      <c r="S109" s="541"/>
      <c r="T109" s="556"/>
      <c r="U109" s="533"/>
      <c r="V109" s="509"/>
      <c r="W109" s="509"/>
      <c r="X109" s="16"/>
      <c r="Y109" s="16"/>
      <c r="Z109" s="16"/>
      <c r="AA109" s="16"/>
      <c r="AB109" s="16"/>
      <c r="AC109" s="16"/>
    </row>
    <row r="110" spans="1:29" ht="30" customHeight="1">
      <c r="A110" s="355"/>
      <c r="B110" s="82"/>
      <c r="C110" s="65" t="str">
        <f>"Category C   " &amp; IFERROR(VLOOKUP(G$104,$AF:$AG,2,FALSE),"")</f>
        <v xml:space="preserve">Category C   </v>
      </c>
      <c r="D110" s="92"/>
      <c r="E110" s="544"/>
      <c r="F110" s="544"/>
      <c r="G110" s="544"/>
      <c r="H110" s="544"/>
      <c r="I110" s="506"/>
      <c r="J110" s="543"/>
      <c r="K110" s="543"/>
      <c r="L110" s="543"/>
      <c r="M110" s="540"/>
      <c r="N110" s="542"/>
      <c r="O110" s="541"/>
      <c r="P110" s="556"/>
      <c r="Q110" s="540"/>
      <c r="R110" s="542"/>
      <c r="S110" s="541"/>
      <c r="T110" s="556"/>
      <c r="U110" s="533"/>
      <c r="V110" s="509"/>
      <c r="W110" s="509"/>
      <c r="X110" s="16"/>
      <c r="Y110" s="16"/>
      <c r="Z110" s="16"/>
      <c r="AA110" s="16"/>
      <c r="AB110" s="16"/>
      <c r="AC110" s="16"/>
    </row>
    <row r="111" spans="1:29" ht="30" customHeight="1">
      <c r="A111" s="359"/>
      <c r="B111" s="183"/>
      <c r="C111" s="193" t="str">
        <f>"Category D   " &amp; IFERROR(VLOOKUP(H$104,$AF:$AG,2,FALSE),"")</f>
        <v xml:space="preserve">Category D   </v>
      </c>
      <c r="D111" s="296"/>
      <c r="E111" s="544"/>
      <c r="F111" s="544"/>
      <c r="G111" s="544"/>
      <c r="H111" s="544"/>
      <c r="I111" s="506"/>
      <c r="J111" s="543"/>
      <c r="K111" s="543"/>
      <c r="L111" s="543"/>
      <c r="M111" s="540"/>
      <c r="N111" s="542"/>
      <c r="O111" s="541"/>
      <c r="P111" s="556"/>
      <c r="Q111" s="540"/>
      <c r="R111" s="542"/>
      <c r="S111" s="541"/>
      <c r="T111" s="556"/>
      <c r="U111" s="584"/>
      <c r="V111" s="509"/>
      <c r="W111" s="509"/>
      <c r="X111" s="16"/>
      <c r="Y111" s="16"/>
      <c r="Z111" s="16"/>
      <c r="AA111" s="16"/>
      <c r="AB111" s="16"/>
      <c r="AC111" s="16"/>
    </row>
    <row r="112" spans="1:29" ht="22.5" customHeight="1">
      <c r="A112" s="348">
        <v>4.3</v>
      </c>
      <c r="B112" s="126"/>
      <c r="C112" s="128" t="s">
        <v>94</v>
      </c>
      <c r="D112" s="349"/>
      <c r="E112" s="544"/>
      <c r="F112" s="544"/>
      <c r="G112" s="544"/>
      <c r="H112" s="544"/>
      <c r="I112" s="235"/>
      <c r="J112" s="236"/>
      <c r="K112" s="236"/>
      <c r="L112" s="236"/>
      <c r="M112" s="236"/>
      <c r="N112" s="236"/>
      <c r="O112" s="236"/>
      <c r="P112" s="236"/>
      <c r="Q112" s="236"/>
      <c r="R112" s="236"/>
      <c r="S112" s="236"/>
      <c r="T112" s="236"/>
      <c r="U112" s="237"/>
      <c r="V112" s="237"/>
      <c r="W112" s="304"/>
      <c r="X112" s="16"/>
      <c r="Y112" s="16"/>
      <c r="Z112" s="16"/>
      <c r="AA112" s="16"/>
      <c r="AB112" s="16"/>
      <c r="AC112" s="16"/>
    </row>
    <row r="113" spans="1:29" ht="22.5" customHeight="1">
      <c r="A113" s="350" t="s">
        <v>95</v>
      </c>
      <c r="B113" s="139"/>
      <c r="C113" s="161" t="s">
        <v>583</v>
      </c>
      <c r="D113" s="351"/>
      <c r="E113" s="544" t="str">
        <f>IF(Q113&lt;&gt;"",Q113,"")</f>
        <v/>
      </c>
      <c r="F113" s="544" t="str">
        <f>IF(R113&lt;&gt;"",R113,"")</f>
        <v/>
      </c>
      <c r="G113" s="544" t="str">
        <f>IF(S113&lt;&gt;"",S113,"")</f>
        <v/>
      </c>
      <c r="H113" s="544" t="str">
        <f>IF(T113&lt;&gt;"",T113,"")</f>
        <v/>
      </c>
      <c r="I113" s="506" t="str">
        <f>IF(Q113="NA","NA",IF(AND(Q113&lt;&gt;"",OR(Q113="NS",Q113&gt;=0)),1,"-"))</f>
        <v>-</v>
      </c>
      <c r="J113" s="543" t="str">
        <f>IF(R113="NA","NA",IF(AND(R113&lt;&gt;"",OR(R113="NS",R113&gt;=0)),1,"-"))</f>
        <v>-</v>
      </c>
      <c r="K113" s="543" t="str">
        <f>IF(S113="NA","NA",IF(AND(S113&lt;&gt;"",OR(S113="NS",S113&gt;=0)),1,"-"))</f>
        <v>-</v>
      </c>
      <c r="L113" s="543" t="str">
        <f>IF(T113="NA","NA",IF(AND(T113&lt;&gt;"",OR(T113="NS",T113&gt;=0)),1,"-"))</f>
        <v>-</v>
      </c>
      <c r="M113" s="540"/>
      <c r="N113" s="542"/>
      <c r="O113" s="541"/>
      <c r="P113" s="556"/>
      <c r="Q113" s="540"/>
      <c r="R113" s="542"/>
      <c r="S113" s="541"/>
      <c r="T113" s="556"/>
      <c r="U113" s="585" t="s">
        <v>433</v>
      </c>
      <c r="V113" s="535" t="e">
        <f>IF(COUNTIF(Q113:T120,"NA")/COUNTA(Q113:T120)=1,"NA","")</f>
        <v>#DIV/0!</v>
      </c>
      <c r="W113" s="535" t="str">
        <f>IF(COUNTIF(Q113:T120,0)&gt;0,0,"")</f>
        <v/>
      </c>
      <c r="X113" s="16"/>
      <c r="Y113" s="16"/>
      <c r="Z113" s="16"/>
      <c r="AA113" s="16"/>
      <c r="AB113" s="16"/>
      <c r="AC113" s="16"/>
    </row>
    <row r="114" spans="1:29" ht="51" customHeight="1">
      <c r="A114" s="383" t="s">
        <v>182</v>
      </c>
      <c r="B114" s="82"/>
      <c r="C114" s="92" t="s">
        <v>524</v>
      </c>
      <c r="D114" s="92"/>
      <c r="E114" s="544"/>
      <c r="F114" s="544"/>
      <c r="G114" s="544"/>
      <c r="H114" s="544"/>
      <c r="I114" s="506"/>
      <c r="J114" s="543"/>
      <c r="K114" s="543"/>
      <c r="L114" s="543"/>
      <c r="M114" s="540"/>
      <c r="N114" s="542"/>
      <c r="O114" s="541"/>
      <c r="P114" s="556"/>
      <c r="Q114" s="540"/>
      <c r="R114" s="542"/>
      <c r="S114" s="541"/>
      <c r="T114" s="556"/>
      <c r="U114" s="533"/>
      <c r="V114" s="509"/>
      <c r="W114" s="509"/>
      <c r="X114" s="16"/>
      <c r="Y114" s="16"/>
      <c r="Z114" s="16"/>
      <c r="AA114" s="16"/>
      <c r="AB114" s="16"/>
      <c r="AC114" s="16"/>
    </row>
    <row r="115" spans="1:29" ht="12.75">
      <c r="A115" s="355"/>
      <c r="B115" s="82"/>
      <c r="C115" s="85"/>
      <c r="D115" s="92"/>
      <c r="E115" s="544"/>
      <c r="F115" s="544"/>
      <c r="G115" s="544"/>
      <c r="H115" s="544"/>
      <c r="I115" s="506"/>
      <c r="J115" s="543"/>
      <c r="K115" s="543"/>
      <c r="L115" s="543"/>
      <c r="M115" s="540"/>
      <c r="N115" s="542"/>
      <c r="O115" s="541"/>
      <c r="P115" s="556"/>
      <c r="Q115" s="540"/>
      <c r="R115" s="542"/>
      <c r="S115" s="541"/>
      <c r="T115" s="556"/>
      <c r="U115" s="533"/>
      <c r="V115" s="509"/>
      <c r="W115" s="509"/>
      <c r="X115" s="16"/>
      <c r="Y115" s="16"/>
      <c r="Z115" s="16"/>
      <c r="AA115" s="16"/>
      <c r="AB115" s="16"/>
      <c r="AC115" s="16"/>
    </row>
    <row r="116" spans="1:29" ht="12.75">
      <c r="A116" s="355"/>
      <c r="B116" s="82"/>
      <c r="C116" s="224" t="s">
        <v>430</v>
      </c>
      <c r="D116" s="92"/>
      <c r="E116" s="544"/>
      <c r="F116" s="544"/>
      <c r="G116" s="544"/>
      <c r="H116" s="544"/>
      <c r="I116" s="506"/>
      <c r="J116" s="543"/>
      <c r="K116" s="543"/>
      <c r="L116" s="543"/>
      <c r="M116" s="540"/>
      <c r="N116" s="542"/>
      <c r="O116" s="541"/>
      <c r="P116" s="556"/>
      <c r="Q116" s="540"/>
      <c r="R116" s="542"/>
      <c r="S116" s="541"/>
      <c r="T116" s="556"/>
      <c r="U116" s="533"/>
      <c r="V116" s="509"/>
      <c r="W116" s="509"/>
      <c r="X116" s="16"/>
      <c r="Y116" s="16"/>
      <c r="Z116" s="16"/>
      <c r="AA116" s="16"/>
      <c r="AB116" s="16"/>
      <c r="AC116" s="16"/>
    </row>
    <row r="117" spans="1:29" ht="30" customHeight="1">
      <c r="A117" s="355"/>
      <c r="B117" s="82"/>
      <c r="C117" s="65" t="str">
        <f>"Category A   " &amp; IFERROR(VLOOKUP(E$113,$AF:$AG,2,FALSE),"")</f>
        <v xml:space="preserve">Category A   </v>
      </c>
      <c r="D117" s="92"/>
      <c r="E117" s="544"/>
      <c r="F117" s="544"/>
      <c r="G117" s="544"/>
      <c r="H117" s="544"/>
      <c r="I117" s="506"/>
      <c r="J117" s="543"/>
      <c r="K117" s="543"/>
      <c r="L117" s="543"/>
      <c r="M117" s="540"/>
      <c r="N117" s="542"/>
      <c r="O117" s="541"/>
      <c r="P117" s="556"/>
      <c r="Q117" s="540"/>
      <c r="R117" s="542"/>
      <c r="S117" s="541"/>
      <c r="T117" s="556"/>
      <c r="U117" s="533"/>
      <c r="V117" s="509"/>
      <c r="W117" s="509"/>
      <c r="X117" s="16"/>
      <c r="Y117" s="16"/>
      <c r="Z117" s="16"/>
      <c r="AA117" s="16"/>
      <c r="AB117" s="16"/>
      <c r="AC117" s="16"/>
    </row>
    <row r="118" spans="1:29" ht="30" customHeight="1">
      <c r="A118" s="355"/>
      <c r="B118" s="82"/>
      <c r="C118" s="65" t="str">
        <f>"Category B   " &amp; IFERROR(VLOOKUP(F$113,$AF:$AG,2,FALSE),"")</f>
        <v xml:space="preserve">Category B   </v>
      </c>
      <c r="D118" s="92"/>
      <c r="E118" s="544"/>
      <c r="F118" s="544"/>
      <c r="G118" s="544"/>
      <c r="H118" s="544"/>
      <c r="I118" s="506"/>
      <c r="J118" s="543"/>
      <c r="K118" s="543"/>
      <c r="L118" s="543"/>
      <c r="M118" s="540"/>
      <c r="N118" s="542"/>
      <c r="O118" s="541"/>
      <c r="P118" s="556"/>
      <c r="Q118" s="540"/>
      <c r="R118" s="542"/>
      <c r="S118" s="541"/>
      <c r="T118" s="556"/>
      <c r="U118" s="533"/>
      <c r="V118" s="509"/>
      <c r="W118" s="509"/>
      <c r="X118" s="16"/>
      <c r="Y118" s="16"/>
      <c r="Z118" s="16"/>
      <c r="AA118" s="16"/>
      <c r="AB118" s="16"/>
      <c r="AC118" s="16"/>
    </row>
    <row r="119" spans="1:29" ht="30" customHeight="1">
      <c r="A119" s="355"/>
      <c r="B119" s="82"/>
      <c r="C119" s="65" t="str">
        <f>"Category C   " &amp; IFERROR(VLOOKUP(G$113,$AF:$AG,2,FALSE),"")</f>
        <v xml:space="preserve">Category C   </v>
      </c>
      <c r="D119" s="92"/>
      <c r="E119" s="544"/>
      <c r="F119" s="544"/>
      <c r="G119" s="544"/>
      <c r="H119" s="544"/>
      <c r="I119" s="506"/>
      <c r="J119" s="543"/>
      <c r="K119" s="543"/>
      <c r="L119" s="543"/>
      <c r="M119" s="540"/>
      <c r="N119" s="542"/>
      <c r="O119" s="541"/>
      <c r="P119" s="556"/>
      <c r="Q119" s="540"/>
      <c r="R119" s="542"/>
      <c r="S119" s="541"/>
      <c r="T119" s="556"/>
      <c r="U119" s="533"/>
      <c r="V119" s="509"/>
      <c r="W119" s="509"/>
      <c r="X119" s="16"/>
      <c r="Y119" s="16"/>
      <c r="Z119" s="16"/>
      <c r="AA119" s="16"/>
      <c r="AB119" s="16"/>
      <c r="AC119" s="16"/>
    </row>
    <row r="120" spans="1:29" ht="30" customHeight="1">
      <c r="A120" s="359"/>
      <c r="B120" s="183"/>
      <c r="C120" s="193" t="str">
        <f>"Category D   " &amp; IFERROR(VLOOKUP(H$113,$AF:$AG,2,FALSE),"")</f>
        <v xml:space="preserve">Category D   </v>
      </c>
      <c r="D120" s="296"/>
      <c r="E120" s="544"/>
      <c r="F120" s="544"/>
      <c r="G120" s="544"/>
      <c r="H120" s="544"/>
      <c r="I120" s="506"/>
      <c r="J120" s="543"/>
      <c r="K120" s="543"/>
      <c r="L120" s="543"/>
      <c r="M120" s="540"/>
      <c r="N120" s="542"/>
      <c r="O120" s="541"/>
      <c r="P120" s="556"/>
      <c r="Q120" s="540"/>
      <c r="R120" s="542"/>
      <c r="S120" s="541"/>
      <c r="T120" s="556"/>
      <c r="U120" s="534"/>
      <c r="V120" s="509"/>
      <c r="W120" s="509"/>
      <c r="X120" s="16"/>
      <c r="Y120" s="16"/>
      <c r="Z120" s="16"/>
      <c r="AA120" s="16"/>
      <c r="AB120" s="16"/>
      <c r="AC120" s="16"/>
    </row>
    <row r="121" spans="1:29" ht="22.5" customHeight="1">
      <c r="A121" s="350" t="s">
        <v>96</v>
      </c>
      <c r="B121" s="139"/>
      <c r="C121" s="161" t="s">
        <v>254</v>
      </c>
      <c r="D121" s="351"/>
      <c r="E121" s="544" t="str">
        <f>IF(Q121&lt;&gt;"",Q121,"")</f>
        <v/>
      </c>
      <c r="F121" s="544" t="str">
        <f>IF(R121&lt;&gt;"",R121,"")</f>
        <v/>
      </c>
      <c r="G121" s="544" t="str">
        <f>IF(S121&lt;&gt;"",S121,"")</f>
        <v/>
      </c>
      <c r="H121" s="544" t="str">
        <f>IF(T121&lt;&gt;"",T121,"")</f>
        <v/>
      </c>
      <c r="I121" s="506" t="str">
        <f>IF(Q121="NA","NA",IF(AND(Q121&lt;&gt;"",OR(Q121="NS",Q121&gt;=0)),1,"-"))</f>
        <v>-</v>
      </c>
      <c r="J121" s="543" t="str">
        <f>IF(R121="NA","NA",IF(AND(R121&lt;&gt;"",OR(R121="NS",R121&gt;=0)),1,"-"))</f>
        <v>-</v>
      </c>
      <c r="K121" s="543" t="str">
        <f>IF(S121="NA","NA",IF(AND(S121&lt;&gt;"",OR(S121="NS",S121&gt;=0)),1,"-"))</f>
        <v>-</v>
      </c>
      <c r="L121" s="543" t="str">
        <f>IF(T121="NA","NA",IF(AND(T121&lt;&gt;"",OR(T121="NS",T121&gt;=0)),1,"-"))</f>
        <v>-</v>
      </c>
      <c r="M121" s="540"/>
      <c r="N121" s="542"/>
      <c r="O121" s="541"/>
      <c r="P121" s="556"/>
      <c r="Q121" s="540"/>
      <c r="R121" s="542"/>
      <c r="S121" s="541"/>
      <c r="T121" s="556"/>
      <c r="U121" s="531" t="s">
        <v>64</v>
      </c>
      <c r="V121" s="535" t="e">
        <f>IF(COUNTIF(Q121:T128,"NA")/COUNTA(Q121:T128)=1,"NA","")</f>
        <v>#DIV/0!</v>
      </c>
      <c r="W121" s="535" t="str">
        <f>IF(COUNTIF(Q121:T128,0)&gt;0,0,"")</f>
        <v/>
      </c>
      <c r="X121" s="16"/>
      <c r="Y121" s="16"/>
      <c r="Z121" s="16"/>
      <c r="AA121" s="16"/>
      <c r="AB121" s="16"/>
      <c r="AC121" s="16"/>
    </row>
    <row r="122" spans="1:29" ht="25.5" customHeight="1">
      <c r="A122" s="383" t="s">
        <v>182</v>
      </c>
      <c r="B122" s="82"/>
      <c r="C122" s="92" t="s">
        <v>440</v>
      </c>
      <c r="D122" s="92"/>
      <c r="E122" s="544"/>
      <c r="F122" s="544"/>
      <c r="G122" s="544"/>
      <c r="H122" s="544"/>
      <c r="I122" s="506"/>
      <c r="J122" s="543"/>
      <c r="K122" s="543"/>
      <c r="L122" s="543"/>
      <c r="M122" s="540"/>
      <c r="N122" s="542"/>
      <c r="O122" s="541"/>
      <c r="P122" s="556"/>
      <c r="Q122" s="540"/>
      <c r="R122" s="542"/>
      <c r="S122" s="541"/>
      <c r="T122" s="556"/>
      <c r="U122" s="533"/>
      <c r="V122" s="509"/>
      <c r="W122" s="509"/>
      <c r="X122" s="16"/>
      <c r="Y122" s="16"/>
      <c r="Z122" s="16"/>
      <c r="AA122" s="16"/>
      <c r="AB122" s="16"/>
      <c r="AC122" s="16"/>
    </row>
    <row r="123" spans="1:29" ht="12.75">
      <c r="A123" s="355"/>
      <c r="B123" s="82"/>
      <c r="C123" s="85"/>
      <c r="D123" s="92"/>
      <c r="E123" s="544"/>
      <c r="F123" s="544"/>
      <c r="G123" s="544"/>
      <c r="H123" s="544"/>
      <c r="I123" s="506"/>
      <c r="J123" s="543"/>
      <c r="K123" s="543"/>
      <c r="L123" s="543"/>
      <c r="M123" s="540"/>
      <c r="N123" s="542"/>
      <c r="O123" s="541"/>
      <c r="P123" s="556"/>
      <c r="Q123" s="540"/>
      <c r="R123" s="542"/>
      <c r="S123" s="541"/>
      <c r="T123" s="556"/>
      <c r="U123" s="533"/>
      <c r="V123" s="509"/>
      <c r="W123" s="509"/>
      <c r="X123" s="16"/>
      <c r="Y123" s="16"/>
      <c r="Z123" s="16"/>
      <c r="AA123" s="16"/>
      <c r="AB123" s="16"/>
      <c r="AC123" s="16"/>
    </row>
    <row r="124" spans="1:29" ht="12.75">
      <c r="A124" s="355"/>
      <c r="B124" s="82"/>
      <c r="C124" s="224" t="s">
        <v>430</v>
      </c>
      <c r="D124" s="92"/>
      <c r="E124" s="544"/>
      <c r="F124" s="544"/>
      <c r="G124" s="544"/>
      <c r="H124" s="544"/>
      <c r="I124" s="506"/>
      <c r="J124" s="543"/>
      <c r="K124" s="543"/>
      <c r="L124" s="543"/>
      <c r="M124" s="540"/>
      <c r="N124" s="542"/>
      <c r="O124" s="541"/>
      <c r="P124" s="556"/>
      <c r="Q124" s="540"/>
      <c r="R124" s="542"/>
      <c r="S124" s="541"/>
      <c r="T124" s="556"/>
      <c r="U124" s="533"/>
      <c r="V124" s="509"/>
      <c r="W124" s="509"/>
      <c r="X124" s="16"/>
      <c r="Y124" s="16"/>
      <c r="Z124" s="16"/>
      <c r="AA124" s="16"/>
      <c r="AB124" s="16"/>
      <c r="AC124" s="16"/>
    </row>
    <row r="125" spans="1:29" ht="30" customHeight="1">
      <c r="A125" s="355"/>
      <c r="B125" s="82"/>
      <c r="C125" s="65" t="str">
        <f>"Category A   " &amp; IFERROR(VLOOKUP(E$121,$AF:$AG,2,FALSE),"")</f>
        <v xml:space="preserve">Category A   </v>
      </c>
      <c r="D125" s="92"/>
      <c r="E125" s="544"/>
      <c r="F125" s="544"/>
      <c r="G125" s="544"/>
      <c r="H125" s="544"/>
      <c r="I125" s="506"/>
      <c r="J125" s="543"/>
      <c r="K125" s="543"/>
      <c r="L125" s="543"/>
      <c r="M125" s="540"/>
      <c r="N125" s="542"/>
      <c r="O125" s="541"/>
      <c r="P125" s="556"/>
      <c r="Q125" s="540"/>
      <c r="R125" s="542"/>
      <c r="S125" s="541"/>
      <c r="T125" s="556"/>
      <c r="U125" s="533"/>
      <c r="V125" s="509"/>
      <c r="W125" s="509"/>
      <c r="X125" s="16"/>
      <c r="Y125" s="16"/>
      <c r="Z125" s="16"/>
      <c r="AA125" s="16"/>
      <c r="AB125" s="16"/>
      <c r="AC125" s="16"/>
    </row>
    <row r="126" spans="1:29" ht="30" customHeight="1">
      <c r="A126" s="355"/>
      <c r="B126" s="82"/>
      <c r="C126" s="65" t="str">
        <f>"Category B   " &amp; IFERROR(VLOOKUP(F$121,$AF:$AG,2,FALSE),"")</f>
        <v xml:space="preserve">Category B   </v>
      </c>
      <c r="D126" s="92"/>
      <c r="E126" s="544"/>
      <c r="F126" s="544"/>
      <c r="G126" s="544"/>
      <c r="H126" s="544"/>
      <c r="I126" s="506"/>
      <c r="J126" s="543"/>
      <c r="K126" s="543"/>
      <c r="L126" s="543"/>
      <c r="M126" s="540"/>
      <c r="N126" s="542"/>
      <c r="O126" s="541"/>
      <c r="P126" s="556"/>
      <c r="Q126" s="540"/>
      <c r="R126" s="542"/>
      <c r="S126" s="541"/>
      <c r="T126" s="556"/>
      <c r="U126" s="533"/>
      <c r="V126" s="509"/>
      <c r="W126" s="509"/>
      <c r="X126" s="16"/>
      <c r="Y126" s="16"/>
      <c r="Z126" s="16"/>
      <c r="AA126" s="16"/>
      <c r="AB126" s="16"/>
      <c r="AC126" s="16"/>
    </row>
    <row r="127" spans="1:29" ht="30" customHeight="1">
      <c r="A127" s="355"/>
      <c r="B127" s="82"/>
      <c r="C127" s="65" t="str">
        <f>"Category C   " &amp; IFERROR(VLOOKUP(G$121,$AF:$AG,2,FALSE),"")</f>
        <v xml:space="preserve">Category C   </v>
      </c>
      <c r="D127" s="92"/>
      <c r="E127" s="544"/>
      <c r="F127" s="544"/>
      <c r="G127" s="544"/>
      <c r="H127" s="544"/>
      <c r="I127" s="506"/>
      <c r="J127" s="543"/>
      <c r="K127" s="543"/>
      <c r="L127" s="543"/>
      <c r="M127" s="540"/>
      <c r="N127" s="542"/>
      <c r="O127" s="541"/>
      <c r="P127" s="556"/>
      <c r="Q127" s="540"/>
      <c r="R127" s="542"/>
      <c r="S127" s="541"/>
      <c r="T127" s="556"/>
      <c r="U127" s="533"/>
      <c r="V127" s="509"/>
      <c r="W127" s="509"/>
      <c r="X127" s="16"/>
      <c r="Y127" s="16"/>
      <c r="Z127" s="16"/>
      <c r="AA127" s="16"/>
      <c r="AB127" s="16"/>
      <c r="AC127" s="16"/>
    </row>
    <row r="128" spans="1:29" ht="30" customHeight="1">
      <c r="A128" s="357"/>
      <c r="B128" s="203"/>
      <c r="C128" s="193" t="str">
        <f>"Category D   " &amp; IFERROR(VLOOKUP(H$121,$AF:$AG,2,FALSE),"")</f>
        <v xml:space="preserve">Category D   </v>
      </c>
      <c r="D128" s="361"/>
      <c r="E128" s="544"/>
      <c r="F128" s="544"/>
      <c r="G128" s="544"/>
      <c r="H128" s="544"/>
      <c r="I128" s="506"/>
      <c r="J128" s="543"/>
      <c r="K128" s="543"/>
      <c r="L128" s="543"/>
      <c r="M128" s="540"/>
      <c r="N128" s="542"/>
      <c r="O128" s="541"/>
      <c r="P128" s="556"/>
      <c r="Q128" s="540"/>
      <c r="R128" s="542"/>
      <c r="S128" s="541"/>
      <c r="T128" s="556"/>
      <c r="U128" s="534"/>
      <c r="V128" s="509"/>
      <c r="W128" s="509"/>
      <c r="X128" s="16"/>
      <c r="Y128" s="16"/>
      <c r="Z128" s="16"/>
      <c r="AA128" s="16"/>
      <c r="AB128" s="16"/>
      <c r="AC128" s="16"/>
    </row>
    <row r="129" spans="1:29" ht="22.5" customHeight="1">
      <c r="A129" s="362" t="s">
        <v>97</v>
      </c>
      <c r="B129" s="363"/>
      <c r="C129" s="364" t="s">
        <v>255</v>
      </c>
      <c r="D129" s="365"/>
      <c r="E129" s="544" t="str">
        <f>IF(Q129&lt;&gt;"",Q129,"")</f>
        <v/>
      </c>
      <c r="F129" s="544" t="str">
        <f>IF(R129&lt;&gt;"",R129,"")</f>
        <v/>
      </c>
      <c r="G129" s="544" t="str">
        <f>IF(S129&lt;&gt;"",S129,"")</f>
        <v/>
      </c>
      <c r="H129" s="544" t="str">
        <f>IF(T129&lt;&gt;"",T129,"")</f>
        <v/>
      </c>
      <c r="I129" s="506" t="str">
        <f>IF(Q129="NA","NA",IF(AND(Q129&lt;&gt;"",OR(Q129="NS",Q129&gt;=0)),2,"-"))</f>
        <v>-</v>
      </c>
      <c r="J129" s="543" t="str">
        <f>IF(R129="NA","NA",IF(AND(R129&lt;&gt;"",OR(R129="NS",R129&gt;=0)),2,"-"))</f>
        <v>-</v>
      </c>
      <c r="K129" s="543" t="str">
        <f>IF(S129="NA","NA",IF(AND(S129&lt;&gt;"",OR(S129="NS",S129&gt;=0)),2,"-"))</f>
        <v>-</v>
      </c>
      <c r="L129" s="543" t="str">
        <f>IF(T129="NA","NA",IF(AND(T129&lt;&gt;"",OR(T129="NS",T129&gt;=0)),2,"-"))</f>
        <v>-</v>
      </c>
      <c r="M129" s="540"/>
      <c r="N129" s="542"/>
      <c r="O129" s="541"/>
      <c r="P129" s="556"/>
      <c r="Q129" s="540"/>
      <c r="R129" s="542"/>
      <c r="S129" s="541"/>
      <c r="T129" s="556"/>
      <c r="U129" s="531" t="s">
        <v>65</v>
      </c>
      <c r="V129" s="535" t="e">
        <f>IF(COUNTIF(Q129:T136,"NA")/COUNTA(Q129:T136)=1,"NA","")</f>
        <v>#DIV/0!</v>
      </c>
      <c r="W129" s="535" t="str">
        <f>IF(COUNTIF(Q129:T136,0)&gt;0,0,"")</f>
        <v/>
      </c>
      <c r="X129" s="16"/>
      <c r="Y129" s="16"/>
      <c r="Z129" s="16"/>
      <c r="AA129" s="16"/>
      <c r="AB129" s="16"/>
      <c r="AC129" s="16"/>
    </row>
    <row r="130" spans="1:29" ht="51" customHeight="1">
      <c r="A130" s="385" t="s">
        <v>178</v>
      </c>
      <c r="B130" s="62"/>
      <c r="C130" s="92" t="s">
        <v>429</v>
      </c>
      <c r="D130" s="92"/>
      <c r="E130" s="544"/>
      <c r="F130" s="544"/>
      <c r="G130" s="544"/>
      <c r="H130" s="544"/>
      <c r="I130" s="506"/>
      <c r="J130" s="543"/>
      <c r="K130" s="543"/>
      <c r="L130" s="543"/>
      <c r="M130" s="540"/>
      <c r="N130" s="542"/>
      <c r="O130" s="541"/>
      <c r="P130" s="556"/>
      <c r="Q130" s="540"/>
      <c r="R130" s="542"/>
      <c r="S130" s="541"/>
      <c r="T130" s="556"/>
      <c r="U130" s="533"/>
      <c r="V130" s="509"/>
      <c r="W130" s="509"/>
      <c r="X130" s="16"/>
      <c r="Y130" s="16"/>
      <c r="Z130" s="16"/>
      <c r="AA130" s="16"/>
      <c r="AB130" s="16"/>
      <c r="AC130" s="16"/>
    </row>
    <row r="131" spans="1:29" ht="12.75">
      <c r="A131" s="356"/>
      <c r="B131" s="61"/>
      <c r="C131" s="85"/>
      <c r="D131" s="92"/>
      <c r="E131" s="544"/>
      <c r="F131" s="544"/>
      <c r="G131" s="544"/>
      <c r="H131" s="544"/>
      <c r="I131" s="506"/>
      <c r="J131" s="543"/>
      <c r="K131" s="543"/>
      <c r="L131" s="543"/>
      <c r="M131" s="540"/>
      <c r="N131" s="542"/>
      <c r="O131" s="541"/>
      <c r="P131" s="556"/>
      <c r="Q131" s="540"/>
      <c r="R131" s="542"/>
      <c r="S131" s="541"/>
      <c r="T131" s="556"/>
      <c r="U131" s="533"/>
      <c r="V131" s="509"/>
      <c r="W131" s="509"/>
      <c r="X131" s="16"/>
      <c r="Y131" s="16"/>
      <c r="Z131" s="16"/>
      <c r="AA131" s="16"/>
      <c r="AB131" s="16"/>
      <c r="AC131" s="16"/>
    </row>
    <row r="132" spans="1:29" ht="12.75">
      <c r="A132" s="355"/>
      <c r="B132" s="82"/>
      <c r="C132" s="224" t="s">
        <v>430</v>
      </c>
      <c r="D132" s="92"/>
      <c r="E132" s="544"/>
      <c r="F132" s="544"/>
      <c r="G132" s="544"/>
      <c r="H132" s="544"/>
      <c r="I132" s="506"/>
      <c r="J132" s="543"/>
      <c r="K132" s="543"/>
      <c r="L132" s="543"/>
      <c r="M132" s="540"/>
      <c r="N132" s="542"/>
      <c r="O132" s="541"/>
      <c r="P132" s="556"/>
      <c r="Q132" s="540"/>
      <c r="R132" s="542"/>
      <c r="S132" s="541"/>
      <c r="T132" s="556"/>
      <c r="U132" s="533"/>
      <c r="V132" s="509"/>
      <c r="W132" s="509"/>
      <c r="X132" s="16"/>
      <c r="Y132" s="16"/>
      <c r="Z132" s="16"/>
      <c r="AA132" s="16"/>
      <c r="AB132" s="16"/>
      <c r="AC132" s="16"/>
    </row>
    <row r="133" spans="1:29" ht="30" customHeight="1">
      <c r="A133" s="355"/>
      <c r="B133" s="82"/>
      <c r="C133" s="65" t="str">
        <f>"Category A   " &amp; IFERROR(VLOOKUP(E$129,$AF:$AG,2,FALSE),"")</f>
        <v xml:space="preserve">Category A   </v>
      </c>
      <c r="D133" s="92"/>
      <c r="E133" s="544"/>
      <c r="F133" s="544"/>
      <c r="G133" s="544"/>
      <c r="H133" s="544"/>
      <c r="I133" s="506"/>
      <c r="J133" s="543"/>
      <c r="K133" s="543"/>
      <c r="L133" s="543"/>
      <c r="M133" s="540"/>
      <c r="N133" s="542"/>
      <c r="O133" s="541"/>
      <c r="P133" s="556"/>
      <c r="Q133" s="540"/>
      <c r="R133" s="542"/>
      <c r="S133" s="541"/>
      <c r="T133" s="556"/>
      <c r="U133" s="533"/>
      <c r="V133" s="509"/>
      <c r="W133" s="509"/>
      <c r="X133" s="16"/>
      <c r="Y133" s="16"/>
      <c r="Z133" s="16"/>
      <c r="AA133" s="16"/>
      <c r="AB133" s="16"/>
      <c r="AC133" s="16"/>
    </row>
    <row r="134" spans="1:29" ht="30" customHeight="1">
      <c r="A134" s="355"/>
      <c r="B134" s="82"/>
      <c r="C134" s="65" t="str">
        <f>"Category B   " &amp; IFERROR(VLOOKUP(F$129,$AF:$AG,2,FALSE),"")</f>
        <v xml:space="preserve">Category B   </v>
      </c>
      <c r="D134" s="92"/>
      <c r="E134" s="544"/>
      <c r="F134" s="544"/>
      <c r="G134" s="544"/>
      <c r="H134" s="544"/>
      <c r="I134" s="506"/>
      <c r="J134" s="543"/>
      <c r="K134" s="543"/>
      <c r="L134" s="543"/>
      <c r="M134" s="540"/>
      <c r="N134" s="542"/>
      <c r="O134" s="541"/>
      <c r="P134" s="556"/>
      <c r="Q134" s="540"/>
      <c r="R134" s="542"/>
      <c r="S134" s="541"/>
      <c r="T134" s="556"/>
      <c r="U134" s="533"/>
      <c r="V134" s="509"/>
      <c r="W134" s="509"/>
      <c r="X134" s="16"/>
      <c r="Y134" s="16"/>
      <c r="Z134" s="16"/>
      <c r="AA134" s="16"/>
      <c r="AB134" s="16"/>
      <c r="AC134" s="16"/>
    </row>
    <row r="135" spans="1:29" ht="30" customHeight="1">
      <c r="A135" s="355"/>
      <c r="B135" s="82"/>
      <c r="C135" s="65" t="str">
        <f>"Category C   " &amp; IFERROR(VLOOKUP(G$129,$AF:$AG,2,FALSE),"")</f>
        <v xml:space="preserve">Category C   </v>
      </c>
      <c r="D135" s="92"/>
      <c r="E135" s="544"/>
      <c r="F135" s="544"/>
      <c r="G135" s="544"/>
      <c r="H135" s="544"/>
      <c r="I135" s="506"/>
      <c r="J135" s="543"/>
      <c r="K135" s="543"/>
      <c r="L135" s="543"/>
      <c r="M135" s="540"/>
      <c r="N135" s="542"/>
      <c r="O135" s="541"/>
      <c r="P135" s="556"/>
      <c r="Q135" s="540"/>
      <c r="R135" s="542"/>
      <c r="S135" s="541"/>
      <c r="T135" s="556"/>
      <c r="U135" s="533"/>
      <c r="V135" s="509"/>
      <c r="W135" s="509"/>
      <c r="X135" s="16"/>
      <c r="Y135" s="16"/>
      <c r="Z135" s="16"/>
      <c r="AA135" s="16"/>
      <c r="AB135" s="16"/>
      <c r="AC135" s="16"/>
    </row>
    <row r="136" spans="1:29" ht="30" customHeight="1">
      <c r="A136" s="359"/>
      <c r="B136" s="183"/>
      <c r="C136" s="193" t="str">
        <f>"Category D   " &amp; IFERROR(VLOOKUP(H$129,$AF:$AG,2,FALSE),"")</f>
        <v xml:space="preserve">Category D   </v>
      </c>
      <c r="D136" s="296"/>
      <c r="E136" s="544"/>
      <c r="F136" s="544"/>
      <c r="G136" s="544"/>
      <c r="H136" s="544"/>
      <c r="I136" s="506"/>
      <c r="J136" s="543"/>
      <c r="K136" s="543"/>
      <c r="L136" s="543"/>
      <c r="M136" s="540"/>
      <c r="N136" s="542"/>
      <c r="O136" s="541"/>
      <c r="P136" s="556"/>
      <c r="Q136" s="540"/>
      <c r="R136" s="542"/>
      <c r="S136" s="541"/>
      <c r="T136" s="556"/>
      <c r="U136" s="584"/>
      <c r="V136" s="509"/>
      <c r="W136" s="509"/>
      <c r="X136" s="16"/>
      <c r="Y136" s="16"/>
      <c r="Z136" s="16"/>
      <c r="AA136" s="16"/>
      <c r="AB136" s="16"/>
      <c r="AC136" s="16"/>
    </row>
    <row r="137" spans="1:29" ht="22.5" customHeight="1">
      <c r="A137" s="348">
        <v>4.4000000000000004</v>
      </c>
      <c r="B137" s="126"/>
      <c r="C137" s="128" t="s">
        <v>584</v>
      </c>
      <c r="D137" s="349"/>
      <c r="E137" s="544"/>
      <c r="F137" s="544"/>
      <c r="G137" s="544"/>
      <c r="H137" s="544"/>
      <c r="I137" s="235"/>
      <c r="J137" s="236"/>
      <c r="K137" s="236"/>
      <c r="L137" s="236"/>
      <c r="M137" s="236"/>
      <c r="N137" s="236"/>
      <c r="O137" s="236"/>
      <c r="P137" s="236"/>
      <c r="Q137" s="236"/>
      <c r="R137" s="236"/>
      <c r="S137" s="236"/>
      <c r="T137" s="236"/>
      <c r="U137" s="237"/>
      <c r="V137" s="237"/>
      <c r="W137" s="304"/>
      <c r="X137" s="16"/>
      <c r="Y137" s="16"/>
      <c r="Z137" s="16"/>
      <c r="AA137" s="16"/>
      <c r="AB137" s="16"/>
      <c r="AC137" s="16"/>
    </row>
    <row r="138" spans="1:29" ht="22.5" customHeight="1">
      <c r="A138" s="350" t="s">
        <v>98</v>
      </c>
      <c r="B138" s="139"/>
      <c r="C138" s="161" t="s">
        <v>257</v>
      </c>
      <c r="D138" s="351"/>
      <c r="E138" s="544" t="str">
        <f>IF(Q138&lt;&gt;"",Q138,"")</f>
        <v/>
      </c>
      <c r="F138" s="544" t="str">
        <f>IF(R138&lt;&gt;"",R138,"")</f>
        <v/>
      </c>
      <c r="G138" s="544" t="str">
        <f>IF(S138&lt;&gt;"",S138,"")</f>
        <v/>
      </c>
      <c r="H138" s="544" t="str">
        <f>IF(T138&lt;&gt;"",T138,"")</f>
        <v/>
      </c>
      <c r="I138" s="506" t="str">
        <f>IF(Q138="NA","NA",IF(AND(Q138&lt;&gt;"",OR(Q138="NS",Q138&gt;=0)),1,"-"))</f>
        <v>-</v>
      </c>
      <c r="J138" s="543" t="str">
        <f>IF(R138="NA","NA",IF(AND(R138&lt;&gt;"",OR(R138="NS",R138&gt;=0)),1,"-"))</f>
        <v>-</v>
      </c>
      <c r="K138" s="543" t="str">
        <f>IF(S138="NA","NA",IF(AND(S138&lt;&gt;"",OR(S138="NS",S138&gt;=0)),1,"-"))</f>
        <v>-</v>
      </c>
      <c r="L138" s="543" t="str">
        <f>IF(T138="NA","NA",IF(AND(T138&lt;&gt;"",OR(T138="NS",T138&gt;=0)),1,"-"))</f>
        <v>-</v>
      </c>
      <c r="M138" s="540"/>
      <c r="N138" s="542"/>
      <c r="O138" s="541"/>
      <c r="P138" s="556"/>
      <c r="Q138" s="540"/>
      <c r="R138" s="542"/>
      <c r="S138" s="541"/>
      <c r="T138" s="556"/>
      <c r="U138" s="536"/>
      <c r="V138" s="535" t="e">
        <f>IF(COUNTIF(Q138:T146,"NA")/COUNTA(Q138:T146)=1,"NA","")</f>
        <v>#DIV/0!</v>
      </c>
      <c r="W138" s="535" t="str">
        <f>IF(COUNTIF(Q138:T146,0)&gt;0,0,"")</f>
        <v/>
      </c>
      <c r="X138" s="16"/>
      <c r="Y138" s="16"/>
      <c r="Z138" s="16"/>
      <c r="AA138" s="16"/>
      <c r="AB138" s="16"/>
      <c r="AC138" s="16"/>
    </row>
    <row r="139" spans="1:29" ht="22.5" customHeight="1">
      <c r="A139" s="352" t="s">
        <v>256</v>
      </c>
      <c r="B139" s="59"/>
      <c r="C139" s="86" t="s">
        <v>258</v>
      </c>
      <c r="D139" s="92"/>
      <c r="E139" s="544"/>
      <c r="F139" s="544"/>
      <c r="G139" s="544"/>
      <c r="H139" s="544"/>
      <c r="I139" s="506"/>
      <c r="J139" s="543"/>
      <c r="K139" s="543"/>
      <c r="L139" s="543"/>
      <c r="M139" s="540"/>
      <c r="N139" s="542"/>
      <c r="O139" s="541"/>
      <c r="P139" s="556"/>
      <c r="Q139" s="540"/>
      <c r="R139" s="542"/>
      <c r="S139" s="541"/>
      <c r="T139" s="556"/>
      <c r="U139" s="537"/>
      <c r="V139" s="509"/>
      <c r="W139" s="509"/>
      <c r="X139" s="16"/>
      <c r="Y139" s="16"/>
      <c r="Z139" s="16"/>
      <c r="AA139" s="16"/>
      <c r="AB139" s="16"/>
      <c r="AC139" s="16"/>
    </row>
    <row r="140" spans="1:29" ht="51" customHeight="1">
      <c r="A140" s="383" t="s">
        <v>182</v>
      </c>
      <c r="B140" s="82"/>
      <c r="C140" s="60" t="s">
        <v>525</v>
      </c>
      <c r="D140" s="92"/>
      <c r="E140" s="544"/>
      <c r="F140" s="544"/>
      <c r="G140" s="544"/>
      <c r="H140" s="544"/>
      <c r="I140" s="506"/>
      <c r="J140" s="543"/>
      <c r="K140" s="543"/>
      <c r="L140" s="543"/>
      <c r="M140" s="540"/>
      <c r="N140" s="542"/>
      <c r="O140" s="541"/>
      <c r="P140" s="556"/>
      <c r="Q140" s="540"/>
      <c r="R140" s="542"/>
      <c r="S140" s="541"/>
      <c r="T140" s="556"/>
      <c r="U140" s="537"/>
      <c r="V140" s="509"/>
      <c r="W140" s="509"/>
      <c r="X140" s="16"/>
      <c r="Y140" s="16"/>
      <c r="Z140" s="16"/>
      <c r="AA140" s="16"/>
      <c r="AB140" s="16"/>
      <c r="AC140" s="16"/>
    </row>
    <row r="141" spans="1:29" ht="12.75">
      <c r="A141" s="355"/>
      <c r="B141" s="82"/>
      <c r="C141" s="60"/>
      <c r="D141" s="92"/>
      <c r="E141" s="544"/>
      <c r="F141" s="544"/>
      <c r="G141" s="544"/>
      <c r="H141" s="544"/>
      <c r="I141" s="506"/>
      <c r="J141" s="543"/>
      <c r="K141" s="543"/>
      <c r="L141" s="543"/>
      <c r="M141" s="540"/>
      <c r="N141" s="542"/>
      <c r="O141" s="541"/>
      <c r="P141" s="556"/>
      <c r="Q141" s="540"/>
      <c r="R141" s="542"/>
      <c r="S141" s="541"/>
      <c r="T141" s="556"/>
      <c r="U141" s="537"/>
      <c r="V141" s="509"/>
      <c r="W141" s="509"/>
      <c r="X141" s="16"/>
      <c r="Y141" s="16"/>
      <c r="Z141" s="16"/>
      <c r="AA141" s="16"/>
      <c r="AB141" s="16"/>
      <c r="AC141" s="16"/>
    </row>
    <row r="142" spans="1:29" ht="12.75">
      <c r="A142" s="355"/>
      <c r="B142" s="82"/>
      <c r="C142" s="224" t="s">
        <v>430</v>
      </c>
      <c r="D142" s="92"/>
      <c r="E142" s="544"/>
      <c r="F142" s="544"/>
      <c r="G142" s="544"/>
      <c r="H142" s="544"/>
      <c r="I142" s="506"/>
      <c r="J142" s="543"/>
      <c r="K142" s="543"/>
      <c r="L142" s="543"/>
      <c r="M142" s="540"/>
      <c r="N142" s="542"/>
      <c r="O142" s="541"/>
      <c r="P142" s="556"/>
      <c r="Q142" s="540"/>
      <c r="R142" s="542"/>
      <c r="S142" s="541"/>
      <c r="T142" s="556"/>
      <c r="U142" s="537"/>
      <c r="V142" s="509"/>
      <c r="W142" s="509"/>
      <c r="X142" s="16"/>
      <c r="Y142" s="16"/>
      <c r="Z142" s="16"/>
      <c r="AA142" s="16"/>
      <c r="AB142" s="16"/>
      <c r="AC142" s="16"/>
    </row>
    <row r="143" spans="1:29" ht="30" customHeight="1">
      <c r="A143" s="355"/>
      <c r="B143" s="82"/>
      <c r="C143" s="65" t="str">
        <f>"Category A   " &amp; IFERROR(VLOOKUP(E$138,$AF:$AG,2,FALSE),"")</f>
        <v xml:space="preserve">Category A   </v>
      </c>
      <c r="D143" s="92"/>
      <c r="E143" s="544"/>
      <c r="F143" s="544"/>
      <c r="G143" s="544"/>
      <c r="H143" s="544"/>
      <c r="I143" s="506"/>
      <c r="J143" s="543"/>
      <c r="K143" s="543"/>
      <c r="L143" s="543"/>
      <c r="M143" s="540"/>
      <c r="N143" s="542"/>
      <c r="O143" s="541"/>
      <c r="P143" s="556"/>
      <c r="Q143" s="540"/>
      <c r="R143" s="542"/>
      <c r="S143" s="541"/>
      <c r="T143" s="556"/>
      <c r="U143" s="537"/>
      <c r="V143" s="509"/>
      <c r="W143" s="509"/>
      <c r="X143" s="16"/>
      <c r="Y143" s="16"/>
      <c r="Z143" s="16"/>
      <c r="AA143" s="16"/>
      <c r="AB143" s="16"/>
      <c r="AC143" s="16"/>
    </row>
    <row r="144" spans="1:29" ht="30" customHeight="1">
      <c r="A144" s="355"/>
      <c r="B144" s="82"/>
      <c r="C144" s="65" t="str">
        <f>"Category B   " &amp; IFERROR(VLOOKUP(F$138,$AF:$AG,2,FALSE),"")</f>
        <v xml:space="preserve">Category B   </v>
      </c>
      <c r="D144" s="92"/>
      <c r="E144" s="544"/>
      <c r="F144" s="544"/>
      <c r="G144" s="544"/>
      <c r="H144" s="544"/>
      <c r="I144" s="506"/>
      <c r="J144" s="543"/>
      <c r="K144" s="543"/>
      <c r="L144" s="543"/>
      <c r="M144" s="540"/>
      <c r="N144" s="542"/>
      <c r="O144" s="541"/>
      <c r="P144" s="556"/>
      <c r="Q144" s="540"/>
      <c r="R144" s="542"/>
      <c r="S144" s="541"/>
      <c r="T144" s="556"/>
      <c r="U144" s="537"/>
      <c r="V144" s="509"/>
      <c r="W144" s="509"/>
      <c r="X144" s="16"/>
      <c r="Y144" s="16"/>
      <c r="Z144" s="16"/>
      <c r="AA144" s="16"/>
      <c r="AB144" s="16"/>
      <c r="AC144" s="16"/>
    </row>
    <row r="145" spans="1:29" ht="30" customHeight="1">
      <c r="A145" s="355"/>
      <c r="B145" s="82"/>
      <c r="C145" s="65" t="str">
        <f>"Category C   " &amp; IFERROR(VLOOKUP(G$138,$AF:$AG,2,FALSE),"")</f>
        <v xml:space="preserve">Category C   </v>
      </c>
      <c r="D145" s="92"/>
      <c r="E145" s="544"/>
      <c r="F145" s="544"/>
      <c r="G145" s="544"/>
      <c r="H145" s="544"/>
      <c r="I145" s="506"/>
      <c r="J145" s="543"/>
      <c r="K145" s="543"/>
      <c r="L145" s="543"/>
      <c r="M145" s="540"/>
      <c r="N145" s="542"/>
      <c r="O145" s="541"/>
      <c r="P145" s="556"/>
      <c r="Q145" s="540"/>
      <c r="R145" s="542"/>
      <c r="S145" s="541"/>
      <c r="T145" s="556"/>
      <c r="U145" s="537"/>
      <c r="V145" s="509"/>
      <c r="W145" s="509"/>
      <c r="X145" s="16"/>
      <c r="Y145" s="16"/>
      <c r="Z145" s="16"/>
      <c r="AA145" s="16"/>
      <c r="AB145" s="16"/>
      <c r="AC145" s="16"/>
    </row>
    <row r="146" spans="1:29" ht="30" customHeight="1">
      <c r="A146" s="359"/>
      <c r="B146" s="183"/>
      <c r="C146" s="193" t="str">
        <f>"Category D   " &amp; IFERROR(VLOOKUP(H$138,$AF:$AG,2,FALSE),"")</f>
        <v xml:space="preserve">Category D   </v>
      </c>
      <c r="D146" s="296"/>
      <c r="E146" s="544"/>
      <c r="F146" s="544"/>
      <c r="G146" s="544"/>
      <c r="H146" s="544"/>
      <c r="I146" s="506"/>
      <c r="J146" s="543"/>
      <c r="K146" s="543"/>
      <c r="L146" s="543"/>
      <c r="M146" s="540"/>
      <c r="N146" s="542"/>
      <c r="O146" s="541"/>
      <c r="P146" s="556"/>
      <c r="Q146" s="540"/>
      <c r="R146" s="542"/>
      <c r="S146" s="541"/>
      <c r="T146" s="556"/>
      <c r="U146" s="537"/>
      <c r="V146" s="509"/>
      <c r="W146" s="510"/>
      <c r="X146" s="16"/>
      <c r="Y146" s="16"/>
      <c r="Z146" s="16"/>
      <c r="AA146" s="16"/>
      <c r="AB146" s="16"/>
      <c r="AC146" s="16"/>
    </row>
    <row r="147" spans="1:29" ht="22.5" customHeight="1">
      <c r="A147" s="350" t="s">
        <v>259</v>
      </c>
      <c r="B147" s="139"/>
      <c r="C147" s="161" t="s">
        <v>260</v>
      </c>
      <c r="D147" s="351"/>
      <c r="E147" s="544" t="str">
        <f>IF(Q147&lt;&gt;"",Q147,"")</f>
        <v/>
      </c>
      <c r="F147" s="544" t="str">
        <f>IF(R147&lt;&gt;"",R147,"")</f>
        <v/>
      </c>
      <c r="G147" s="544" t="str">
        <f>IF(S147&lt;&gt;"",S147,"")</f>
        <v/>
      </c>
      <c r="H147" s="544" t="str">
        <f>IF(T147&lt;&gt;"",T147,"")</f>
        <v/>
      </c>
      <c r="I147" s="506" t="str">
        <f>IF(Q147="NA","NA",IF(AND(Q147&lt;&gt;"",OR(Q147="NS",Q147&gt;=0)),1,"-"))</f>
        <v>-</v>
      </c>
      <c r="J147" s="543" t="str">
        <f>IF(R147="NA","NA",IF(AND(R147&lt;&gt;"",OR(R147="NS",R147&gt;=0)),1,"-"))</f>
        <v>-</v>
      </c>
      <c r="K147" s="543" t="str">
        <f>IF(S147="NA","NA",IF(AND(S147&lt;&gt;"",OR(S147="NS",S147&gt;=0)),1,"-"))</f>
        <v>-</v>
      </c>
      <c r="L147" s="543" t="str">
        <f>IF(T147="NA","NA",IF(AND(T147&lt;&gt;"",OR(T147="NS",T147&gt;=0)),1,"-"))</f>
        <v>-</v>
      </c>
      <c r="M147" s="540"/>
      <c r="N147" s="542"/>
      <c r="O147" s="541"/>
      <c r="P147" s="556"/>
      <c r="Q147" s="540"/>
      <c r="R147" s="542"/>
      <c r="S147" s="541"/>
      <c r="T147" s="556"/>
      <c r="U147" s="537"/>
      <c r="V147" s="535" t="e">
        <f>IF(COUNTIF(Q147:T154,"NA")/COUNTA(Q147:T154)=1,"NA","")</f>
        <v>#DIV/0!</v>
      </c>
      <c r="W147" s="535" t="str">
        <f>IF(COUNTIF(Q147:T154,0)&gt;0,0,"")</f>
        <v/>
      </c>
      <c r="X147" s="16"/>
      <c r="Y147" s="16"/>
      <c r="Z147" s="16"/>
      <c r="AA147" s="16"/>
      <c r="AB147" s="16"/>
      <c r="AC147" s="16"/>
    </row>
    <row r="148" spans="1:29" ht="38.25" customHeight="1">
      <c r="A148" s="383" t="s">
        <v>182</v>
      </c>
      <c r="B148" s="82"/>
      <c r="C148" s="60" t="s">
        <v>261</v>
      </c>
      <c r="D148" s="92"/>
      <c r="E148" s="544"/>
      <c r="F148" s="544"/>
      <c r="G148" s="544"/>
      <c r="H148" s="544"/>
      <c r="I148" s="506"/>
      <c r="J148" s="543"/>
      <c r="K148" s="543"/>
      <c r="L148" s="543"/>
      <c r="M148" s="540"/>
      <c r="N148" s="542"/>
      <c r="O148" s="541"/>
      <c r="P148" s="556"/>
      <c r="Q148" s="540"/>
      <c r="R148" s="542"/>
      <c r="S148" s="541"/>
      <c r="T148" s="556"/>
      <c r="U148" s="537"/>
      <c r="V148" s="509"/>
      <c r="W148" s="509"/>
      <c r="X148" s="16"/>
      <c r="Y148" s="16"/>
      <c r="Z148" s="16"/>
      <c r="AA148" s="16"/>
      <c r="AB148" s="16"/>
      <c r="AC148" s="16"/>
    </row>
    <row r="149" spans="1:29" ht="12.75">
      <c r="A149" s="355"/>
      <c r="B149" s="82"/>
      <c r="C149" s="60"/>
      <c r="D149" s="92"/>
      <c r="E149" s="544"/>
      <c r="F149" s="544"/>
      <c r="G149" s="544"/>
      <c r="H149" s="544"/>
      <c r="I149" s="506"/>
      <c r="J149" s="543"/>
      <c r="K149" s="543"/>
      <c r="L149" s="543"/>
      <c r="M149" s="540"/>
      <c r="N149" s="542"/>
      <c r="O149" s="541"/>
      <c r="P149" s="556"/>
      <c r="Q149" s="540"/>
      <c r="R149" s="542"/>
      <c r="S149" s="541"/>
      <c r="T149" s="556"/>
      <c r="U149" s="537"/>
      <c r="V149" s="509"/>
      <c r="W149" s="509"/>
      <c r="X149" s="16"/>
      <c r="Y149" s="16"/>
      <c r="Z149" s="16"/>
      <c r="AA149" s="16"/>
      <c r="AB149" s="16"/>
      <c r="AC149" s="16"/>
    </row>
    <row r="150" spans="1:29" ht="12.75">
      <c r="A150" s="355"/>
      <c r="B150" s="82"/>
      <c r="C150" s="224" t="s">
        <v>430</v>
      </c>
      <c r="D150" s="92"/>
      <c r="E150" s="544"/>
      <c r="F150" s="544"/>
      <c r="G150" s="544"/>
      <c r="H150" s="544"/>
      <c r="I150" s="506"/>
      <c r="J150" s="543"/>
      <c r="K150" s="543"/>
      <c r="L150" s="543"/>
      <c r="M150" s="540"/>
      <c r="N150" s="542"/>
      <c r="O150" s="541"/>
      <c r="P150" s="556"/>
      <c r="Q150" s="540"/>
      <c r="R150" s="542"/>
      <c r="S150" s="541"/>
      <c r="T150" s="556"/>
      <c r="U150" s="537"/>
      <c r="V150" s="509"/>
      <c r="W150" s="509"/>
      <c r="X150" s="16"/>
      <c r="Y150" s="16"/>
      <c r="Z150" s="16"/>
      <c r="AA150" s="16"/>
      <c r="AB150" s="16"/>
      <c r="AC150" s="16"/>
    </row>
    <row r="151" spans="1:29" ht="30" customHeight="1">
      <c r="A151" s="355"/>
      <c r="B151" s="82"/>
      <c r="C151" s="65" t="str">
        <f>"Category A   " &amp; IFERROR(VLOOKUP(E$147,$AF:$AG,2,FALSE),"")</f>
        <v xml:space="preserve">Category A   </v>
      </c>
      <c r="D151" s="239"/>
      <c r="E151" s="544"/>
      <c r="F151" s="544"/>
      <c r="G151" s="544"/>
      <c r="H151" s="544"/>
      <c r="I151" s="506"/>
      <c r="J151" s="543"/>
      <c r="K151" s="543"/>
      <c r="L151" s="543"/>
      <c r="M151" s="540"/>
      <c r="N151" s="542"/>
      <c r="O151" s="541"/>
      <c r="P151" s="556"/>
      <c r="Q151" s="540"/>
      <c r="R151" s="542"/>
      <c r="S151" s="541"/>
      <c r="T151" s="556"/>
      <c r="U151" s="537"/>
      <c r="V151" s="509"/>
      <c r="W151" s="509"/>
      <c r="X151" s="16"/>
      <c r="Y151" s="16"/>
      <c r="Z151" s="16"/>
      <c r="AA151" s="16"/>
      <c r="AB151" s="16"/>
      <c r="AC151" s="16"/>
    </row>
    <row r="152" spans="1:29" ht="30" customHeight="1">
      <c r="A152" s="355"/>
      <c r="B152" s="82"/>
      <c r="C152" s="65" t="str">
        <f>"Category B   " &amp; IFERROR(VLOOKUP(F$147,$AF:$AG,2,FALSE),"")</f>
        <v xml:space="preserve">Category B   </v>
      </c>
      <c r="D152" s="92"/>
      <c r="E152" s="544"/>
      <c r="F152" s="544"/>
      <c r="G152" s="544"/>
      <c r="H152" s="544"/>
      <c r="I152" s="506"/>
      <c r="J152" s="543"/>
      <c r="K152" s="543"/>
      <c r="L152" s="543"/>
      <c r="M152" s="540"/>
      <c r="N152" s="542"/>
      <c r="O152" s="541"/>
      <c r="P152" s="556"/>
      <c r="Q152" s="540"/>
      <c r="R152" s="542"/>
      <c r="S152" s="541"/>
      <c r="T152" s="556"/>
      <c r="U152" s="537"/>
      <c r="V152" s="509"/>
      <c r="W152" s="509"/>
      <c r="X152" s="16"/>
      <c r="Y152" s="16"/>
      <c r="Z152" s="16"/>
      <c r="AA152" s="16"/>
      <c r="AB152" s="16"/>
      <c r="AC152" s="16"/>
    </row>
    <row r="153" spans="1:29" ht="30" customHeight="1">
      <c r="A153" s="355"/>
      <c r="B153" s="82"/>
      <c r="C153" s="65" t="str">
        <f>"Category C   " &amp; IFERROR(VLOOKUP(G$147,$AF:$AG,2,FALSE),"")</f>
        <v xml:space="preserve">Category C   </v>
      </c>
      <c r="D153" s="92"/>
      <c r="E153" s="544"/>
      <c r="F153" s="544"/>
      <c r="G153" s="544"/>
      <c r="H153" s="544"/>
      <c r="I153" s="506"/>
      <c r="J153" s="543"/>
      <c r="K153" s="543"/>
      <c r="L153" s="543"/>
      <c r="M153" s="540"/>
      <c r="N153" s="542"/>
      <c r="O153" s="541"/>
      <c r="P153" s="556"/>
      <c r="Q153" s="540"/>
      <c r="R153" s="542"/>
      <c r="S153" s="541"/>
      <c r="T153" s="556"/>
      <c r="U153" s="537"/>
      <c r="V153" s="509"/>
      <c r="W153" s="509"/>
      <c r="X153" s="16"/>
      <c r="Y153" s="16"/>
      <c r="Z153" s="16"/>
      <c r="AA153" s="16"/>
      <c r="AB153" s="16"/>
      <c r="AC153" s="16"/>
    </row>
    <row r="154" spans="1:29" ht="30" customHeight="1">
      <c r="A154" s="359"/>
      <c r="B154" s="183"/>
      <c r="C154" s="193" t="str">
        <f>"Category D   " &amp; IFERROR(VLOOKUP(H$147,$AF:$AG,2,FALSE),"")</f>
        <v xml:space="preserve">Category D   </v>
      </c>
      <c r="D154" s="296"/>
      <c r="E154" s="544"/>
      <c r="F154" s="544"/>
      <c r="G154" s="544"/>
      <c r="H154" s="544"/>
      <c r="I154" s="506"/>
      <c r="J154" s="543"/>
      <c r="K154" s="543"/>
      <c r="L154" s="543"/>
      <c r="M154" s="540"/>
      <c r="N154" s="542"/>
      <c r="O154" s="541"/>
      <c r="P154" s="556"/>
      <c r="Q154" s="540"/>
      <c r="R154" s="542"/>
      <c r="S154" s="541"/>
      <c r="T154" s="556"/>
      <c r="U154" s="537"/>
      <c r="V154" s="509"/>
      <c r="W154" s="509"/>
      <c r="X154" s="16"/>
      <c r="Y154" s="16"/>
      <c r="Z154" s="16"/>
      <c r="AA154" s="16"/>
      <c r="AB154" s="16"/>
      <c r="AC154" s="16"/>
    </row>
    <row r="155" spans="1:29" ht="22.5" customHeight="1">
      <c r="A155" s="350" t="s">
        <v>262</v>
      </c>
      <c r="B155" s="139"/>
      <c r="C155" s="161" t="s">
        <v>263</v>
      </c>
      <c r="D155" s="351"/>
      <c r="E155" s="544" t="str">
        <f>IF(Q155&lt;&gt;"",Q155,"")</f>
        <v/>
      </c>
      <c r="F155" s="544" t="str">
        <f>IF(R155&lt;&gt;"",R155,"")</f>
        <v/>
      </c>
      <c r="G155" s="544" t="str">
        <f>IF(S155&lt;&gt;"",S155,"")</f>
        <v/>
      </c>
      <c r="H155" s="544" t="str">
        <f>IF(T155&lt;&gt;"",T155,"")</f>
        <v/>
      </c>
      <c r="I155" s="506" t="str">
        <f>IF(Q155="NA","NA",IF(AND(Q155&lt;&gt;"",OR(Q155="NS",Q155&gt;=0)),1,"-"))</f>
        <v>-</v>
      </c>
      <c r="J155" s="543" t="str">
        <f>IF(R155="NA","NA",IF(AND(R155&lt;&gt;"",OR(R155="NS",R155&gt;=0)),1,"-"))</f>
        <v>-</v>
      </c>
      <c r="K155" s="543" t="str">
        <f>IF(S155="NA","NA",IF(AND(S155&lt;&gt;"",OR(S155="NS",S155&gt;=0)),1,"-"))</f>
        <v>-</v>
      </c>
      <c r="L155" s="543" t="str">
        <f>IF(T155="NA","NA",IF(AND(T155&lt;&gt;"",OR(T155="NS",T155&gt;=0)),1,"-"))</f>
        <v>-</v>
      </c>
      <c r="M155" s="540"/>
      <c r="N155" s="542"/>
      <c r="O155" s="541"/>
      <c r="P155" s="556"/>
      <c r="Q155" s="540"/>
      <c r="R155" s="542"/>
      <c r="S155" s="541"/>
      <c r="T155" s="556"/>
      <c r="U155" s="537"/>
      <c r="V155" s="535" t="e">
        <f>IF(COUNTIF(Q155:T162,"NA")/COUNTA(Q155:T162)=1,"NA","")</f>
        <v>#DIV/0!</v>
      </c>
      <c r="W155" s="535" t="str">
        <f>IF(COUNTIF(Q155:T162,0)&gt;0,0,"")</f>
        <v/>
      </c>
      <c r="X155" s="16"/>
      <c r="Y155" s="16"/>
      <c r="Z155" s="16"/>
      <c r="AA155" s="16"/>
      <c r="AB155" s="16"/>
      <c r="AC155" s="16"/>
    </row>
    <row r="156" spans="1:29" ht="38.25" customHeight="1">
      <c r="A156" s="383" t="s">
        <v>182</v>
      </c>
      <c r="B156" s="82"/>
      <c r="C156" s="60" t="s">
        <v>264</v>
      </c>
      <c r="D156" s="92"/>
      <c r="E156" s="544"/>
      <c r="F156" s="544"/>
      <c r="G156" s="544"/>
      <c r="H156" s="544"/>
      <c r="I156" s="506"/>
      <c r="J156" s="543"/>
      <c r="K156" s="543"/>
      <c r="L156" s="543"/>
      <c r="M156" s="540"/>
      <c r="N156" s="542"/>
      <c r="O156" s="541"/>
      <c r="P156" s="556"/>
      <c r="Q156" s="540"/>
      <c r="R156" s="542"/>
      <c r="S156" s="541"/>
      <c r="T156" s="556"/>
      <c r="U156" s="537"/>
      <c r="V156" s="509"/>
      <c r="W156" s="509"/>
      <c r="X156" s="16"/>
      <c r="Y156" s="16"/>
      <c r="Z156" s="16"/>
      <c r="AA156" s="16"/>
      <c r="AB156" s="16"/>
      <c r="AC156" s="16"/>
    </row>
    <row r="157" spans="1:29" ht="12.75">
      <c r="A157" s="355"/>
      <c r="B157" s="82"/>
      <c r="C157" s="60"/>
      <c r="D157" s="92"/>
      <c r="E157" s="544"/>
      <c r="F157" s="544"/>
      <c r="G157" s="544"/>
      <c r="H157" s="544"/>
      <c r="I157" s="506"/>
      <c r="J157" s="543"/>
      <c r="K157" s="543"/>
      <c r="L157" s="543"/>
      <c r="M157" s="540"/>
      <c r="N157" s="542"/>
      <c r="O157" s="541"/>
      <c r="P157" s="556"/>
      <c r="Q157" s="540"/>
      <c r="R157" s="542"/>
      <c r="S157" s="541"/>
      <c r="T157" s="556"/>
      <c r="U157" s="537"/>
      <c r="V157" s="509"/>
      <c r="W157" s="509"/>
      <c r="X157" s="16"/>
      <c r="Y157" s="16"/>
      <c r="Z157" s="16"/>
      <c r="AA157" s="16"/>
      <c r="AB157" s="16"/>
      <c r="AC157" s="16"/>
    </row>
    <row r="158" spans="1:29" ht="12.75">
      <c r="A158" s="355"/>
      <c r="B158" s="82"/>
      <c r="C158" s="224" t="s">
        <v>430</v>
      </c>
      <c r="D158" s="63"/>
      <c r="E158" s="544"/>
      <c r="F158" s="544"/>
      <c r="G158" s="544"/>
      <c r="H158" s="544"/>
      <c r="I158" s="506"/>
      <c r="J158" s="543"/>
      <c r="K158" s="543"/>
      <c r="L158" s="543"/>
      <c r="M158" s="540"/>
      <c r="N158" s="542"/>
      <c r="O158" s="541"/>
      <c r="P158" s="556"/>
      <c r="Q158" s="540"/>
      <c r="R158" s="542"/>
      <c r="S158" s="541"/>
      <c r="T158" s="556"/>
      <c r="U158" s="537"/>
      <c r="V158" s="509"/>
      <c r="W158" s="509"/>
      <c r="X158" s="16"/>
      <c r="Y158" s="16"/>
      <c r="Z158" s="16"/>
      <c r="AA158" s="16"/>
      <c r="AB158" s="16"/>
      <c r="AC158" s="16"/>
    </row>
    <row r="159" spans="1:29" ht="30" customHeight="1">
      <c r="A159" s="355"/>
      <c r="B159" s="82"/>
      <c r="C159" s="65" t="str">
        <f>"Category A   " &amp; IFERROR(VLOOKUP(E$155,$AF:$AG,2,FALSE),"")</f>
        <v xml:space="preserve">Category A   </v>
      </c>
      <c r="D159" s="63"/>
      <c r="E159" s="544"/>
      <c r="F159" s="544"/>
      <c r="G159" s="544"/>
      <c r="H159" s="544"/>
      <c r="I159" s="506"/>
      <c r="J159" s="543"/>
      <c r="K159" s="543"/>
      <c r="L159" s="543"/>
      <c r="M159" s="540"/>
      <c r="N159" s="542"/>
      <c r="O159" s="541"/>
      <c r="P159" s="556"/>
      <c r="Q159" s="540"/>
      <c r="R159" s="542"/>
      <c r="S159" s="541"/>
      <c r="T159" s="556"/>
      <c r="U159" s="537"/>
      <c r="V159" s="509"/>
      <c r="W159" s="509"/>
      <c r="X159" s="16"/>
      <c r="Y159" s="16"/>
      <c r="Z159" s="16"/>
      <c r="AA159" s="16"/>
      <c r="AB159" s="16"/>
      <c r="AC159" s="16"/>
    </row>
    <row r="160" spans="1:29" ht="30" customHeight="1">
      <c r="A160" s="355"/>
      <c r="B160" s="82"/>
      <c r="C160" s="65" t="str">
        <f>"Category B   " &amp; IFERROR(VLOOKUP(F$155,$AF:$AG,2,FALSE),"")</f>
        <v xml:space="preserve">Category B   </v>
      </c>
      <c r="D160" s="63"/>
      <c r="E160" s="544"/>
      <c r="F160" s="544"/>
      <c r="G160" s="544"/>
      <c r="H160" s="544"/>
      <c r="I160" s="506"/>
      <c r="J160" s="543"/>
      <c r="K160" s="543"/>
      <c r="L160" s="543"/>
      <c r="M160" s="540"/>
      <c r="N160" s="542"/>
      <c r="O160" s="541"/>
      <c r="P160" s="556"/>
      <c r="Q160" s="540"/>
      <c r="R160" s="542"/>
      <c r="S160" s="541"/>
      <c r="T160" s="556"/>
      <c r="U160" s="537"/>
      <c r="V160" s="509"/>
      <c r="W160" s="509"/>
      <c r="X160" s="16"/>
      <c r="Y160" s="16"/>
      <c r="Z160" s="16"/>
      <c r="AA160" s="16"/>
      <c r="AB160" s="16"/>
      <c r="AC160" s="16"/>
    </row>
    <row r="161" spans="1:29" ht="30" customHeight="1">
      <c r="A161" s="355"/>
      <c r="B161" s="82"/>
      <c r="C161" s="65" t="str">
        <f>"Category C   " &amp; IFERROR(VLOOKUP(G$155,$AF:$AG,2,FALSE),"")</f>
        <v xml:space="preserve">Category C   </v>
      </c>
      <c r="D161" s="63"/>
      <c r="E161" s="544"/>
      <c r="F161" s="544"/>
      <c r="G161" s="544"/>
      <c r="H161" s="544"/>
      <c r="I161" s="506"/>
      <c r="J161" s="543"/>
      <c r="K161" s="543"/>
      <c r="L161" s="543"/>
      <c r="M161" s="540"/>
      <c r="N161" s="542"/>
      <c r="O161" s="541"/>
      <c r="P161" s="556"/>
      <c r="Q161" s="540"/>
      <c r="R161" s="542"/>
      <c r="S161" s="541"/>
      <c r="T161" s="556"/>
      <c r="U161" s="537"/>
      <c r="V161" s="509"/>
      <c r="W161" s="509"/>
      <c r="X161" s="16"/>
      <c r="Y161" s="16"/>
      <c r="Z161" s="16"/>
      <c r="AA161" s="16"/>
      <c r="AB161" s="16"/>
      <c r="AC161" s="16"/>
    </row>
    <row r="162" spans="1:29" ht="30" customHeight="1">
      <c r="A162" s="359"/>
      <c r="B162" s="183"/>
      <c r="C162" s="193" t="str">
        <f>"Category D   " &amp; IFERROR(VLOOKUP(H$155,$AF:$AG,2,FALSE),"")</f>
        <v xml:space="preserve">Category D   </v>
      </c>
      <c r="D162" s="361"/>
      <c r="E162" s="544"/>
      <c r="F162" s="544"/>
      <c r="G162" s="544"/>
      <c r="H162" s="544"/>
      <c r="I162" s="506"/>
      <c r="J162" s="543"/>
      <c r="K162" s="543"/>
      <c r="L162" s="543"/>
      <c r="M162" s="540"/>
      <c r="N162" s="542"/>
      <c r="O162" s="541"/>
      <c r="P162" s="556"/>
      <c r="Q162" s="540"/>
      <c r="R162" s="542"/>
      <c r="S162" s="541"/>
      <c r="T162" s="556"/>
      <c r="U162" s="537"/>
      <c r="V162" s="509"/>
      <c r="W162" s="509"/>
      <c r="X162" s="16"/>
      <c r="Y162" s="16"/>
      <c r="Z162" s="16"/>
      <c r="AA162" s="16"/>
      <c r="AB162" s="16"/>
      <c r="AC162" s="16"/>
    </row>
    <row r="163" spans="1:29" ht="22.5" customHeight="1">
      <c r="A163" s="350" t="s">
        <v>265</v>
      </c>
      <c r="B163" s="139"/>
      <c r="C163" s="139" t="s">
        <v>585</v>
      </c>
      <c r="D163" s="365"/>
      <c r="E163" s="544" t="str">
        <f>IF(Q163&lt;&gt;"",Q163,"")</f>
        <v/>
      </c>
      <c r="F163" s="544" t="str">
        <f>IF(R163&lt;&gt;"",R163,"")</f>
        <v/>
      </c>
      <c r="G163" s="544" t="str">
        <f>IF(S163&lt;&gt;"",S163,"")</f>
        <v/>
      </c>
      <c r="H163" s="544" t="str">
        <f>IF(T163&lt;&gt;"",T163,"")</f>
        <v/>
      </c>
      <c r="I163" s="506" t="str">
        <f>IF(Q163="NA","NA",IF(AND(Q163&lt;&gt;"",OR(Q163="NS",Q163&gt;=0)),1,"-"))</f>
        <v>-</v>
      </c>
      <c r="J163" s="543" t="str">
        <f>IF(R163="NA","NA",IF(AND(R163&lt;&gt;"",OR(R163="NS",R163&gt;=0)),1,"-"))</f>
        <v>-</v>
      </c>
      <c r="K163" s="543" t="str">
        <f>IF(S163="NA","NA",IF(AND(S163&lt;&gt;"",OR(S163="NS",S163&gt;=0)),1,"-"))</f>
        <v>-</v>
      </c>
      <c r="L163" s="543" t="str">
        <f>IF(T163="NA","NA",IF(AND(T163&lt;&gt;"",OR(T163="NS",T163&gt;=0)),1,"-"))</f>
        <v>-</v>
      </c>
      <c r="M163" s="540"/>
      <c r="N163" s="542"/>
      <c r="O163" s="541"/>
      <c r="P163" s="556"/>
      <c r="Q163" s="540"/>
      <c r="R163" s="542"/>
      <c r="S163" s="541"/>
      <c r="T163" s="556"/>
      <c r="U163" s="537"/>
      <c r="V163" s="535" t="e">
        <f>IF(COUNTIF(Q163:T170,"NA")/COUNTA(Q163:T170)=1,"NA","")</f>
        <v>#DIV/0!</v>
      </c>
      <c r="W163" s="535" t="str">
        <f>IF(COUNTIF(Q163:T170,0)&gt;0,0,"")</f>
        <v/>
      </c>
      <c r="X163" s="16"/>
      <c r="Y163" s="16"/>
      <c r="Z163" s="16"/>
      <c r="AA163" s="16"/>
      <c r="AB163" s="16"/>
      <c r="AC163" s="16"/>
    </row>
    <row r="164" spans="1:29" ht="38.25" customHeight="1">
      <c r="A164" s="383" t="s">
        <v>182</v>
      </c>
      <c r="B164" s="82"/>
      <c r="C164" s="82" t="s">
        <v>266</v>
      </c>
      <c r="D164" s="63"/>
      <c r="E164" s="544"/>
      <c r="F164" s="544"/>
      <c r="G164" s="544"/>
      <c r="H164" s="544"/>
      <c r="I164" s="506"/>
      <c r="J164" s="543"/>
      <c r="K164" s="543"/>
      <c r="L164" s="543"/>
      <c r="M164" s="540"/>
      <c r="N164" s="542"/>
      <c r="O164" s="541"/>
      <c r="P164" s="556"/>
      <c r="Q164" s="540"/>
      <c r="R164" s="542"/>
      <c r="S164" s="541"/>
      <c r="T164" s="556"/>
      <c r="U164" s="537"/>
      <c r="V164" s="509"/>
      <c r="W164" s="509"/>
      <c r="X164" s="16"/>
      <c r="Y164" s="16"/>
      <c r="Z164" s="16"/>
      <c r="AA164" s="16"/>
      <c r="AB164" s="16"/>
      <c r="AC164" s="16"/>
    </row>
    <row r="165" spans="1:29" ht="12.75">
      <c r="A165" s="355"/>
      <c r="B165" s="82"/>
      <c r="C165" s="82"/>
      <c r="D165" s="63"/>
      <c r="E165" s="544"/>
      <c r="F165" s="544"/>
      <c r="G165" s="544"/>
      <c r="H165" s="544"/>
      <c r="I165" s="506"/>
      <c r="J165" s="543"/>
      <c r="K165" s="543"/>
      <c r="L165" s="543"/>
      <c r="M165" s="540"/>
      <c r="N165" s="542"/>
      <c r="O165" s="541"/>
      <c r="P165" s="556"/>
      <c r="Q165" s="540"/>
      <c r="R165" s="542"/>
      <c r="S165" s="541"/>
      <c r="T165" s="556"/>
      <c r="U165" s="537"/>
      <c r="V165" s="509"/>
      <c r="W165" s="509"/>
      <c r="X165" s="16"/>
      <c r="Y165" s="16"/>
      <c r="Z165" s="16"/>
      <c r="AA165" s="16"/>
      <c r="AB165" s="16"/>
    </row>
    <row r="166" spans="1:29" ht="12.75">
      <c r="A166" s="355"/>
      <c r="B166" s="82"/>
      <c r="C166" s="224" t="s">
        <v>430</v>
      </c>
      <c r="D166" s="63"/>
      <c r="E166" s="544"/>
      <c r="F166" s="544"/>
      <c r="G166" s="544"/>
      <c r="H166" s="544"/>
      <c r="I166" s="506"/>
      <c r="J166" s="543"/>
      <c r="K166" s="543"/>
      <c r="L166" s="543"/>
      <c r="M166" s="540"/>
      <c r="N166" s="542"/>
      <c r="O166" s="541"/>
      <c r="P166" s="556"/>
      <c r="Q166" s="540"/>
      <c r="R166" s="542"/>
      <c r="S166" s="541"/>
      <c r="T166" s="556"/>
      <c r="U166" s="537"/>
      <c r="V166" s="509"/>
      <c r="W166" s="509"/>
      <c r="X166" s="16"/>
      <c r="Y166" s="16"/>
      <c r="Z166" s="16"/>
      <c r="AA166" s="16"/>
      <c r="AB166" s="16"/>
    </row>
    <row r="167" spans="1:29" ht="30" customHeight="1">
      <c r="A167" s="355"/>
      <c r="B167" s="82"/>
      <c r="C167" s="65" t="str">
        <f>"Category A   " &amp; IFERROR(VLOOKUP(E$163,$AF:$AG,2,FALSE),"")</f>
        <v xml:space="preserve">Category A   </v>
      </c>
      <c r="D167" s="63"/>
      <c r="E167" s="544"/>
      <c r="F167" s="544"/>
      <c r="G167" s="544"/>
      <c r="H167" s="544"/>
      <c r="I167" s="506"/>
      <c r="J167" s="543"/>
      <c r="K167" s="543"/>
      <c r="L167" s="543"/>
      <c r="M167" s="540"/>
      <c r="N167" s="542"/>
      <c r="O167" s="541"/>
      <c r="P167" s="556"/>
      <c r="Q167" s="540"/>
      <c r="R167" s="542"/>
      <c r="S167" s="541"/>
      <c r="T167" s="556"/>
      <c r="U167" s="537"/>
      <c r="V167" s="509"/>
      <c r="W167" s="509"/>
      <c r="X167" s="16"/>
      <c r="Y167" s="16"/>
      <c r="Z167" s="16"/>
      <c r="AA167" s="16"/>
      <c r="AB167" s="16"/>
    </row>
    <row r="168" spans="1:29" ht="30" customHeight="1">
      <c r="A168" s="355"/>
      <c r="B168" s="82"/>
      <c r="C168" s="65" t="str">
        <f>"Category B   " &amp; IFERROR(VLOOKUP(F$163,$AF:$AG,2,FALSE),"")</f>
        <v xml:space="preserve">Category B   </v>
      </c>
      <c r="D168" s="63"/>
      <c r="E168" s="544"/>
      <c r="F168" s="544"/>
      <c r="G168" s="544"/>
      <c r="H168" s="544"/>
      <c r="I168" s="506"/>
      <c r="J168" s="543"/>
      <c r="K168" s="543"/>
      <c r="L168" s="543"/>
      <c r="M168" s="540"/>
      <c r="N168" s="542"/>
      <c r="O168" s="541"/>
      <c r="P168" s="556"/>
      <c r="Q168" s="540"/>
      <c r="R168" s="542"/>
      <c r="S168" s="541"/>
      <c r="T168" s="556"/>
      <c r="U168" s="537"/>
      <c r="V168" s="509"/>
      <c r="W168" s="509"/>
      <c r="X168" s="16"/>
      <c r="Y168" s="16"/>
      <c r="Z168" s="16"/>
      <c r="AA168" s="16"/>
      <c r="AB168" s="16"/>
    </row>
    <row r="169" spans="1:29" ht="30" customHeight="1">
      <c r="A169" s="355"/>
      <c r="B169" s="82"/>
      <c r="C169" s="65" t="str">
        <f>"Category C   " &amp; IFERROR(VLOOKUP(G$163,$AF:$AG,2,FALSE),"")</f>
        <v xml:space="preserve">Category C   </v>
      </c>
      <c r="D169" s="63"/>
      <c r="E169" s="544"/>
      <c r="F169" s="544"/>
      <c r="G169" s="544"/>
      <c r="H169" s="544"/>
      <c r="I169" s="506"/>
      <c r="J169" s="543"/>
      <c r="K169" s="543"/>
      <c r="L169" s="543"/>
      <c r="M169" s="540"/>
      <c r="N169" s="542"/>
      <c r="O169" s="541"/>
      <c r="P169" s="556"/>
      <c r="Q169" s="540"/>
      <c r="R169" s="542"/>
      <c r="S169" s="541"/>
      <c r="T169" s="556"/>
      <c r="U169" s="537"/>
      <c r="V169" s="509"/>
      <c r="W169" s="509"/>
      <c r="X169" s="16"/>
      <c r="Y169" s="16"/>
      <c r="Z169" s="16"/>
      <c r="AA169" s="16"/>
      <c r="AB169" s="16"/>
    </row>
    <row r="170" spans="1:29" ht="30" customHeight="1">
      <c r="A170" s="359"/>
      <c r="B170" s="183"/>
      <c r="C170" s="193" t="str">
        <f>"Category D   " &amp; IFERROR(VLOOKUP(H$163,$AF:$AG,2,FALSE),"")</f>
        <v xml:space="preserve">Category D   </v>
      </c>
      <c r="D170" s="361"/>
      <c r="E170" s="544"/>
      <c r="F170" s="544"/>
      <c r="G170" s="544"/>
      <c r="H170" s="544"/>
      <c r="I170" s="506"/>
      <c r="J170" s="543"/>
      <c r="K170" s="543"/>
      <c r="L170" s="543"/>
      <c r="M170" s="540"/>
      <c r="N170" s="542"/>
      <c r="O170" s="541"/>
      <c r="P170" s="556"/>
      <c r="Q170" s="540"/>
      <c r="R170" s="542"/>
      <c r="S170" s="541"/>
      <c r="T170" s="556"/>
      <c r="U170" s="537"/>
      <c r="V170" s="509"/>
      <c r="W170" s="509"/>
      <c r="X170" s="16"/>
      <c r="Y170" s="16"/>
      <c r="Z170" s="16"/>
      <c r="AA170" s="16"/>
      <c r="AB170" s="16"/>
    </row>
    <row r="171" spans="1:29" ht="22.5" customHeight="1">
      <c r="A171" s="350" t="s">
        <v>267</v>
      </c>
      <c r="B171" s="139"/>
      <c r="C171" s="139" t="s">
        <v>268</v>
      </c>
      <c r="D171" s="365"/>
      <c r="E171" s="544" t="str">
        <f>IF(Q171=1,"1B",Q171)</f>
        <v>Insert No. of Credit(s) Here</v>
      </c>
      <c r="F171" s="544"/>
      <c r="G171" s="544"/>
      <c r="H171" s="544"/>
      <c r="I171" s="557" t="s">
        <v>60</v>
      </c>
      <c r="J171" s="557"/>
      <c r="K171" s="557"/>
      <c r="L171" s="557"/>
      <c r="M171" s="540" t="s">
        <v>435</v>
      </c>
      <c r="N171" s="540"/>
      <c r="O171" s="540"/>
      <c r="P171" s="540"/>
      <c r="Q171" s="540" t="s">
        <v>435</v>
      </c>
      <c r="R171" s="540"/>
      <c r="S171" s="540"/>
      <c r="T171" s="540"/>
      <c r="U171" s="537"/>
      <c r="V171" s="509" t="str">
        <f>IF(Q171="NA","NA","")</f>
        <v/>
      </c>
      <c r="W171" s="509" t="str">
        <f>IF(Q171=0,0,"")</f>
        <v/>
      </c>
      <c r="X171" s="16"/>
      <c r="Y171" s="16"/>
      <c r="Z171" s="16"/>
      <c r="AA171" s="16"/>
      <c r="AB171" s="16"/>
    </row>
    <row r="172" spans="1:29" ht="38.25" customHeight="1">
      <c r="A172" s="383" t="s">
        <v>192</v>
      </c>
      <c r="B172" s="82"/>
      <c r="C172" s="82" t="s">
        <v>526</v>
      </c>
      <c r="D172" s="63"/>
      <c r="E172" s="544"/>
      <c r="F172" s="544"/>
      <c r="G172" s="544"/>
      <c r="H172" s="544"/>
      <c r="I172" s="557"/>
      <c r="J172" s="557"/>
      <c r="K172" s="557"/>
      <c r="L172" s="557"/>
      <c r="M172" s="540"/>
      <c r="N172" s="540"/>
      <c r="O172" s="540"/>
      <c r="P172" s="540"/>
      <c r="Q172" s="540"/>
      <c r="R172" s="540"/>
      <c r="S172" s="540"/>
      <c r="T172" s="540"/>
      <c r="U172" s="537"/>
      <c r="V172" s="509"/>
      <c r="W172" s="509"/>
      <c r="X172" s="16"/>
      <c r="Y172" s="16"/>
      <c r="Z172" s="16"/>
      <c r="AA172" s="16"/>
      <c r="AB172" s="16"/>
    </row>
    <row r="173" spans="1:29" ht="12.75">
      <c r="A173" s="355"/>
      <c r="B173" s="82"/>
      <c r="C173" s="82"/>
      <c r="D173" s="63"/>
      <c r="E173" s="544"/>
      <c r="F173" s="544"/>
      <c r="G173" s="544"/>
      <c r="H173" s="544"/>
      <c r="I173" s="557"/>
      <c r="J173" s="557"/>
      <c r="K173" s="557"/>
      <c r="L173" s="557"/>
      <c r="M173" s="540"/>
      <c r="N173" s="540"/>
      <c r="O173" s="540"/>
      <c r="P173" s="540"/>
      <c r="Q173" s="540"/>
      <c r="R173" s="540"/>
      <c r="S173" s="540"/>
      <c r="T173" s="540"/>
      <c r="U173" s="537"/>
      <c r="V173" s="509"/>
      <c r="W173" s="509"/>
      <c r="X173" s="16"/>
      <c r="Y173" s="16"/>
      <c r="Z173" s="16"/>
      <c r="AA173" s="16"/>
      <c r="AB173" s="16"/>
    </row>
    <row r="174" spans="1:29" ht="12.75">
      <c r="A174" s="355"/>
      <c r="B174" s="82"/>
      <c r="C174" s="224" t="s">
        <v>430</v>
      </c>
      <c r="D174" s="63"/>
      <c r="E174" s="544"/>
      <c r="F174" s="544"/>
      <c r="G174" s="544"/>
      <c r="H174" s="544"/>
      <c r="I174" s="557"/>
      <c r="J174" s="557"/>
      <c r="K174" s="557"/>
      <c r="L174" s="557"/>
      <c r="M174" s="540"/>
      <c r="N174" s="540"/>
      <c r="O174" s="540"/>
      <c r="P174" s="540"/>
      <c r="Q174" s="540"/>
      <c r="R174" s="540"/>
      <c r="S174" s="540"/>
      <c r="T174" s="540"/>
      <c r="U174" s="537"/>
      <c r="V174" s="509"/>
      <c r="W174" s="509"/>
      <c r="X174" s="16"/>
      <c r="Y174" s="16"/>
      <c r="Z174" s="16"/>
      <c r="AA174" s="16"/>
      <c r="AB174" s="16"/>
    </row>
    <row r="175" spans="1:29" ht="30" customHeight="1">
      <c r="A175" s="359"/>
      <c r="B175" s="183"/>
      <c r="C175" s="193" t="str">
        <f>IFERROR(VLOOKUP(E$171,$AF:$AG,2,FALSE),"-")</f>
        <v>-</v>
      </c>
      <c r="D175" s="361"/>
      <c r="E175" s="544"/>
      <c r="F175" s="544"/>
      <c r="G175" s="544"/>
      <c r="H175" s="544"/>
      <c r="I175" s="557"/>
      <c r="J175" s="557"/>
      <c r="K175" s="557"/>
      <c r="L175" s="557"/>
      <c r="M175" s="540"/>
      <c r="N175" s="540"/>
      <c r="O175" s="540"/>
      <c r="P175" s="540"/>
      <c r="Q175" s="540"/>
      <c r="R175" s="540"/>
      <c r="S175" s="540"/>
      <c r="T175" s="540"/>
      <c r="U175" s="538"/>
      <c r="V175" s="529"/>
      <c r="W175" s="529"/>
      <c r="X175" s="16"/>
      <c r="Y175" s="16"/>
      <c r="Z175" s="16"/>
      <c r="AA175" s="16"/>
      <c r="AB175" s="16"/>
    </row>
    <row r="176" spans="1:29" ht="22.5" customHeight="1">
      <c r="A176" s="350" t="s">
        <v>99</v>
      </c>
      <c r="B176" s="139"/>
      <c r="C176" s="139" t="s">
        <v>527</v>
      </c>
      <c r="D176" s="365"/>
      <c r="E176" s="544" t="str">
        <f>IF(Q176&lt;&gt;"",Q176,"")</f>
        <v/>
      </c>
      <c r="F176" s="544" t="str">
        <f>IF(R176&lt;&gt;"",R176,"")</f>
        <v/>
      </c>
      <c r="G176" s="544" t="str">
        <f>IF(S176&lt;&gt;"",S176,"")</f>
        <v/>
      </c>
      <c r="H176" s="544" t="str">
        <f>IF(T176&lt;&gt;"",T176,"")</f>
        <v/>
      </c>
      <c r="I176" s="506" t="str">
        <f>IF(Q176="NA","NA",IF(AND(Q176&lt;&gt;"",OR(Q176="NS",Q176&gt;=0)),1,"-"))</f>
        <v>-</v>
      </c>
      <c r="J176" s="543" t="str">
        <f>IF(R176="NA","NA",IF(AND(R176&lt;&gt;"",OR(R176="NS",R176&gt;=0)),1,"-"))</f>
        <v>-</v>
      </c>
      <c r="K176" s="543" t="str">
        <f>IF(S176="NA","NA",IF(AND(S176&lt;&gt;"",OR(S176="NS",S176&gt;=0)),1,"-"))</f>
        <v>-</v>
      </c>
      <c r="L176" s="543" t="str">
        <f>IF(T176="NA","NA",IF(AND(T176&lt;&gt;"",OR(T176="NS",T176&gt;=0)),1,"-"))</f>
        <v>-</v>
      </c>
      <c r="M176" s="540"/>
      <c r="N176" s="542"/>
      <c r="O176" s="541"/>
      <c r="P176" s="556"/>
      <c r="Q176" s="540"/>
      <c r="R176" s="542"/>
      <c r="S176" s="541"/>
      <c r="T176" s="556"/>
      <c r="U176" s="539"/>
      <c r="V176" s="535" t="e">
        <f>IF(COUNTIF(Q176:T184,"NA")/COUNTA(Q176:T184)=1,"NA","")</f>
        <v>#DIV/0!</v>
      </c>
      <c r="W176" s="602" t="str">
        <f>IF(COUNTIF(Q176:T184,0)&gt;0,0,"")</f>
        <v/>
      </c>
      <c r="X176" s="16"/>
      <c r="Y176" s="16"/>
      <c r="Z176" s="16"/>
      <c r="AA176" s="16"/>
      <c r="AB176" s="16"/>
    </row>
    <row r="177" spans="1:28" ht="22.5" customHeight="1">
      <c r="A177" s="352" t="s">
        <v>269</v>
      </c>
      <c r="B177" s="59"/>
      <c r="C177" s="59" t="s">
        <v>270</v>
      </c>
      <c r="D177" s="63"/>
      <c r="E177" s="544"/>
      <c r="F177" s="544"/>
      <c r="G177" s="544"/>
      <c r="H177" s="544"/>
      <c r="I177" s="506"/>
      <c r="J177" s="543"/>
      <c r="K177" s="543"/>
      <c r="L177" s="543"/>
      <c r="M177" s="540"/>
      <c r="N177" s="542"/>
      <c r="O177" s="541"/>
      <c r="P177" s="556"/>
      <c r="Q177" s="540"/>
      <c r="R177" s="542"/>
      <c r="S177" s="541"/>
      <c r="T177" s="556"/>
      <c r="U177" s="537"/>
      <c r="V177" s="509"/>
      <c r="W177" s="509"/>
      <c r="X177" s="16"/>
      <c r="Y177" s="16"/>
      <c r="Z177" s="16"/>
      <c r="AA177" s="16"/>
      <c r="AB177" s="16"/>
    </row>
    <row r="178" spans="1:28" ht="25.5" customHeight="1">
      <c r="A178" s="383" t="s">
        <v>182</v>
      </c>
      <c r="B178" s="82"/>
      <c r="C178" s="82" t="s">
        <v>271</v>
      </c>
      <c r="D178" s="63"/>
      <c r="E178" s="544"/>
      <c r="F178" s="544"/>
      <c r="G178" s="544"/>
      <c r="H178" s="544"/>
      <c r="I178" s="506"/>
      <c r="J178" s="543"/>
      <c r="K178" s="543"/>
      <c r="L178" s="543"/>
      <c r="M178" s="540"/>
      <c r="N178" s="542"/>
      <c r="O178" s="541"/>
      <c r="P178" s="556"/>
      <c r="Q178" s="540"/>
      <c r="R178" s="542"/>
      <c r="S178" s="541"/>
      <c r="T178" s="556"/>
      <c r="U178" s="537"/>
      <c r="V178" s="509"/>
      <c r="W178" s="509"/>
      <c r="X178" s="16"/>
      <c r="Y178" s="16"/>
      <c r="Z178" s="16"/>
      <c r="AA178" s="16"/>
      <c r="AB178" s="16"/>
    </row>
    <row r="179" spans="1:28" ht="12.75">
      <c r="A179" s="355"/>
      <c r="B179" s="82"/>
      <c r="C179" s="82"/>
      <c r="D179" s="63"/>
      <c r="E179" s="544"/>
      <c r="F179" s="544"/>
      <c r="G179" s="544"/>
      <c r="H179" s="544"/>
      <c r="I179" s="506"/>
      <c r="J179" s="543"/>
      <c r="K179" s="543"/>
      <c r="L179" s="543"/>
      <c r="M179" s="540"/>
      <c r="N179" s="542"/>
      <c r="O179" s="541"/>
      <c r="P179" s="556"/>
      <c r="Q179" s="540"/>
      <c r="R179" s="542"/>
      <c r="S179" s="541"/>
      <c r="T179" s="556"/>
      <c r="U179" s="537"/>
      <c r="V179" s="509"/>
      <c r="W179" s="509"/>
      <c r="X179" s="16"/>
      <c r="Y179" s="16"/>
      <c r="Z179" s="16"/>
      <c r="AA179" s="16"/>
      <c r="AB179" s="16"/>
    </row>
    <row r="180" spans="1:28" ht="12.75">
      <c r="A180" s="355"/>
      <c r="B180" s="82"/>
      <c r="C180" s="224" t="s">
        <v>430</v>
      </c>
      <c r="D180" s="63"/>
      <c r="E180" s="544"/>
      <c r="F180" s="544"/>
      <c r="G180" s="544"/>
      <c r="H180" s="544"/>
      <c r="I180" s="506"/>
      <c r="J180" s="543"/>
      <c r="K180" s="543"/>
      <c r="L180" s="543"/>
      <c r="M180" s="540"/>
      <c r="N180" s="542"/>
      <c r="O180" s="541"/>
      <c r="P180" s="556"/>
      <c r="Q180" s="540"/>
      <c r="R180" s="542"/>
      <c r="S180" s="541"/>
      <c r="T180" s="556"/>
      <c r="U180" s="537"/>
      <c r="V180" s="509"/>
      <c r="W180" s="509"/>
      <c r="X180" s="16"/>
      <c r="Y180" s="16"/>
      <c r="Z180" s="16"/>
      <c r="AA180" s="16"/>
      <c r="AB180" s="16"/>
    </row>
    <row r="181" spans="1:28" ht="30" customHeight="1">
      <c r="A181" s="355"/>
      <c r="B181" s="82"/>
      <c r="C181" s="65" t="str">
        <f>"Category A   " &amp; IFERROR(VLOOKUP(E$176,$AF:$AG,2,FALSE),"")</f>
        <v xml:space="preserve">Category A   </v>
      </c>
      <c r="D181" s="63"/>
      <c r="E181" s="544"/>
      <c r="F181" s="544"/>
      <c r="G181" s="544"/>
      <c r="H181" s="544"/>
      <c r="I181" s="506"/>
      <c r="J181" s="543"/>
      <c r="K181" s="543"/>
      <c r="L181" s="543"/>
      <c r="M181" s="540"/>
      <c r="N181" s="542"/>
      <c r="O181" s="541"/>
      <c r="P181" s="556"/>
      <c r="Q181" s="540"/>
      <c r="R181" s="542"/>
      <c r="S181" s="541"/>
      <c r="T181" s="556"/>
      <c r="U181" s="537"/>
      <c r="V181" s="509"/>
      <c r="W181" s="509"/>
      <c r="X181" s="16"/>
      <c r="Y181" s="16"/>
      <c r="Z181" s="16"/>
      <c r="AA181" s="16"/>
      <c r="AB181" s="16"/>
    </row>
    <row r="182" spans="1:28" ht="30" customHeight="1">
      <c r="A182" s="355"/>
      <c r="B182" s="82"/>
      <c r="C182" s="65" t="str">
        <f>"Category B   " &amp; IFERROR(VLOOKUP(F$176,$AF:$AG,2,FALSE),"")</f>
        <v xml:space="preserve">Category B   </v>
      </c>
      <c r="D182" s="63"/>
      <c r="E182" s="544"/>
      <c r="F182" s="544"/>
      <c r="G182" s="544"/>
      <c r="H182" s="544"/>
      <c r="I182" s="506"/>
      <c r="J182" s="543"/>
      <c r="K182" s="543"/>
      <c r="L182" s="543"/>
      <c r="M182" s="540"/>
      <c r="N182" s="542"/>
      <c r="O182" s="541"/>
      <c r="P182" s="556"/>
      <c r="Q182" s="540"/>
      <c r="R182" s="542"/>
      <c r="S182" s="541"/>
      <c r="T182" s="556"/>
      <c r="U182" s="537"/>
      <c r="V182" s="509"/>
      <c r="W182" s="509"/>
      <c r="X182" s="16"/>
      <c r="Y182" s="16"/>
      <c r="Z182" s="16"/>
      <c r="AA182" s="16"/>
      <c r="AB182" s="16"/>
    </row>
    <row r="183" spans="1:28" ht="30" customHeight="1">
      <c r="A183" s="355"/>
      <c r="B183" s="82"/>
      <c r="C183" s="65" t="str">
        <f>"Category C   " &amp; IFERROR(VLOOKUP(G$176,$AF:$AG,2,FALSE),"")</f>
        <v xml:space="preserve">Category C   </v>
      </c>
      <c r="D183" s="63"/>
      <c r="E183" s="544"/>
      <c r="F183" s="544"/>
      <c r="G183" s="544"/>
      <c r="H183" s="544"/>
      <c r="I183" s="506"/>
      <c r="J183" s="543"/>
      <c r="K183" s="543"/>
      <c r="L183" s="543"/>
      <c r="M183" s="540"/>
      <c r="N183" s="542"/>
      <c r="O183" s="541"/>
      <c r="P183" s="556"/>
      <c r="Q183" s="540"/>
      <c r="R183" s="542"/>
      <c r="S183" s="541"/>
      <c r="T183" s="556"/>
      <c r="U183" s="537"/>
      <c r="V183" s="509"/>
      <c r="W183" s="509"/>
      <c r="X183" s="16"/>
      <c r="Y183" s="16"/>
      <c r="Z183" s="16"/>
      <c r="AA183" s="16"/>
      <c r="AB183" s="16"/>
    </row>
    <row r="184" spans="1:28" ht="30" customHeight="1">
      <c r="A184" s="359"/>
      <c r="B184" s="183"/>
      <c r="C184" s="193" t="str">
        <f>"Category D   " &amp; IFERROR(VLOOKUP(H$176,$AF:$AG,2,FALSE),"")</f>
        <v xml:space="preserve">Category D   </v>
      </c>
      <c r="D184" s="361"/>
      <c r="E184" s="544"/>
      <c r="F184" s="544"/>
      <c r="G184" s="544"/>
      <c r="H184" s="544"/>
      <c r="I184" s="506"/>
      <c r="J184" s="543"/>
      <c r="K184" s="543"/>
      <c r="L184" s="543"/>
      <c r="M184" s="540"/>
      <c r="N184" s="542"/>
      <c r="O184" s="541"/>
      <c r="P184" s="556"/>
      <c r="Q184" s="540"/>
      <c r="R184" s="542"/>
      <c r="S184" s="541"/>
      <c r="T184" s="556"/>
      <c r="U184" s="537"/>
      <c r="V184" s="509"/>
      <c r="W184" s="510"/>
      <c r="X184" s="16"/>
      <c r="Y184" s="16"/>
      <c r="Z184" s="16"/>
      <c r="AA184" s="16"/>
      <c r="AB184" s="16"/>
    </row>
    <row r="185" spans="1:28" ht="22.5" customHeight="1">
      <c r="A185" s="350" t="s">
        <v>272</v>
      </c>
      <c r="B185" s="139"/>
      <c r="C185" s="139" t="s">
        <v>273</v>
      </c>
      <c r="D185" s="365"/>
      <c r="E185" s="544" t="str">
        <f>IF(Q185&lt;&gt;"",Q185,"")</f>
        <v/>
      </c>
      <c r="F185" s="544" t="str">
        <f>IF(R185&lt;&gt;"",R185,"")</f>
        <v/>
      </c>
      <c r="G185" s="544" t="str">
        <f>IF(S185&lt;&gt;"",S185,"")</f>
        <v/>
      </c>
      <c r="H185" s="544" t="str">
        <f>IF(T185&lt;&gt;"",T185,"")</f>
        <v/>
      </c>
      <c r="I185" s="506" t="str">
        <f>IF(Q185="NA","NA",IF(AND(Q185&lt;&gt;"",OR(Q185="NS",Q185&gt;=0)),1,"-"))</f>
        <v>-</v>
      </c>
      <c r="J185" s="543" t="str">
        <f>IF(R185="NA","NA",IF(AND(R185&lt;&gt;"",OR(R185="NS",R185&gt;=0)),1,"-"))</f>
        <v>-</v>
      </c>
      <c r="K185" s="543" t="str">
        <f>IF(S185="NA","NA",IF(AND(S185&lt;&gt;"",OR(S185="NS",S185&gt;=0)),1,"-"))</f>
        <v>-</v>
      </c>
      <c r="L185" s="543" t="str">
        <f>IF(T185="NA","NA",IF(AND(T185&lt;&gt;"",OR(T185="NS",T185&gt;=0)),1,"-"))</f>
        <v>-</v>
      </c>
      <c r="M185" s="540"/>
      <c r="N185" s="542"/>
      <c r="O185" s="541"/>
      <c r="P185" s="556"/>
      <c r="Q185" s="540"/>
      <c r="R185" s="542"/>
      <c r="S185" s="541"/>
      <c r="T185" s="556"/>
      <c r="U185" s="537"/>
      <c r="V185" s="535" t="e">
        <f>IF(COUNTIF(Q185:T192,"NA")/COUNTA(Q185:T192)=1,"NA","")</f>
        <v>#DIV/0!</v>
      </c>
      <c r="W185" s="535" t="str">
        <f>IF(COUNTIF(Q185:T192,0)&gt;0,0,"")</f>
        <v/>
      </c>
      <c r="X185" s="16"/>
      <c r="Y185" s="16"/>
      <c r="Z185" s="16"/>
      <c r="AA185" s="16"/>
      <c r="AB185" s="16"/>
    </row>
    <row r="186" spans="1:28" ht="25.5" customHeight="1">
      <c r="A186" s="383" t="s">
        <v>182</v>
      </c>
      <c r="B186" s="82"/>
      <c r="C186" s="82" t="s">
        <v>528</v>
      </c>
      <c r="D186" s="63"/>
      <c r="E186" s="544"/>
      <c r="F186" s="544"/>
      <c r="G186" s="544"/>
      <c r="H186" s="544"/>
      <c r="I186" s="506"/>
      <c r="J186" s="543"/>
      <c r="K186" s="543"/>
      <c r="L186" s="543"/>
      <c r="M186" s="540"/>
      <c r="N186" s="542"/>
      <c r="O186" s="541"/>
      <c r="P186" s="556"/>
      <c r="Q186" s="540"/>
      <c r="R186" s="542"/>
      <c r="S186" s="541"/>
      <c r="T186" s="556"/>
      <c r="U186" s="537"/>
      <c r="V186" s="509"/>
      <c r="W186" s="509"/>
      <c r="X186" s="16"/>
      <c r="Y186" s="16"/>
      <c r="Z186" s="16"/>
      <c r="AA186" s="16"/>
      <c r="AB186" s="16"/>
    </row>
    <row r="187" spans="1:28" ht="12.75">
      <c r="A187" s="355"/>
      <c r="B187" s="82"/>
      <c r="C187" s="81"/>
      <c r="D187" s="63"/>
      <c r="E187" s="544"/>
      <c r="F187" s="544"/>
      <c r="G187" s="544"/>
      <c r="H187" s="544"/>
      <c r="I187" s="506"/>
      <c r="J187" s="543"/>
      <c r="K187" s="543"/>
      <c r="L187" s="543"/>
      <c r="M187" s="540"/>
      <c r="N187" s="542"/>
      <c r="O187" s="541"/>
      <c r="P187" s="556"/>
      <c r="Q187" s="540"/>
      <c r="R187" s="542"/>
      <c r="S187" s="541"/>
      <c r="T187" s="556"/>
      <c r="U187" s="537"/>
      <c r="V187" s="509"/>
      <c r="W187" s="509"/>
      <c r="X187" s="16"/>
      <c r="Y187" s="16"/>
      <c r="Z187" s="16"/>
      <c r="AA187" s="16"/>
      <c r="AB187" s="16"/>
    </row>
    <row r="188" spans="1:28" ht="12.75">
      <c r="A188" s="355"/>
      <c r="B188" s="82"/>
      <c r="C188" s="224" t="s">
        <v>430</v>
      </c>
      <c r="D188" s="63"/>
      <c r="E188" s="544"/>
      <c r="F188" s="544"/>
      <c r="G188" s="544"/>
      <c r="H188" s="544"/>
      <c r="I188" s="506"/>
      <c r="J188" s="543"/>
      <c r="K188" s="543"/>
      <c r="L188" s="543"/>
      <c r="M188" s="540"/>
      <c r="N188" s="542"/>
      <c r="O188" s="541"/>
      <c r="P188" s="556"/>
      <c r="Q188" s="540"/>
      <c r="R188" s="542"/>
      <c r="S188" s="541"/>
      <c r="T188" s="556"/>
      <c r="U188" s="537"/>
      <c r="V188" s="509"/>
      <c r="W188" s="509"/>
      <c r="X188" s="16"/>
      <c r="Y188" s="16"/>
      <c r="Z188" s="16"/>
      <c r="AA188" s="16"/>
      <c r="AB188" s="16"/>
    </row>
    <row r="189" spans="1:28" ht="30" customHeight="1">
      <c r="A189" s="355"/>
      <c r="B189" s="82"/>
      <c r="C189" s="65" t="str">
        <f>"Category A   " &amp; IFERROR(VLOOKUP(E$185,$AF:$AG,2,FALSE),"")</f>
        <v xml:space="preserve">Category A   </v>
      </c>
      <c r="D189" s="63"/>
      <c r="E189" s="544"/>
      <c r="F189" s="544"/>
      <c r="G189" s="544"/>
      <c r="H189" s="544"/>
      <c r="I189" s="506"/>
      <c r="J189" s="543"/>
      <c r="K189" s="543"/>
      <c r="L189" s="543"/>
      <c r="M189" s="540"/>
      <c r="N189" s="542"/>
      <c r="O189" s="541"/>
      <c r="P189" s="556"/>
      <c r="Q189" s="540"/>
      <c r="R189" s="542"/>
      <c r="S189" s="541"/>
      <c r="T189" s="556"/>
      <c r="U189" s="537"/>
      <c r="V189" s="509"/>
      <c r="W189" s="509"/>
      <c r="X189" s="16"/>
      <c r="Y189" s="16"/>
      <c r="Z189" s="16"/>
      <c r="AA189" s="16"/>
      <c r="AB189" s="16"/>
    </row>
    <row r="190" spans="1:28" ht="30" customHeight="1">
      <c r="A190" s="355"/>
      <c r="B190" s="82"/>
      <c r="C190" s="65" t="str">
        <f>"Category B   " &amp; IFERROR(VLOOKUP(F$185,$AF:$AG,2,FALSE),"")</f>
        <v xml:space="preserve">Category B   </v>
      </c>
      <c r="D190" s="63"/>
      <c r="E190" s="544"/>
      <c r="F190" s="544"/>
      <c r="G190" s="544"/>
      <c r="H190" s="544"/>
      <c r="I190" s="506"/>
      <c r="J190" s="543"/>
      <c r="K190" s="543"/>
      <c r="L190" s="543"/>
      <c r="M190" s="540"/>
      <c r="N190" s="542"/>
      <c r="O190" s="541"/>
      <c r="P190" s="556"/>
      <c r="Q190" s="540"/>
      <c r="R190" s="542"/>
      <c r="S190" s="541"/>
      <c r="T190" s="556"/>
      <c r="U190" s="537"/>
      <c r="V190" s="509"/>
      <c r="W190" s="509"/>
      <c r="X190" s="16"/>
      <c r="Y190" s="16"/>
      <c r="Z190" s="16"/>
      <c r="AA190" s="16"/>
      <c r="AB190" s="16"/>
    </row>
    <row r="191" spans="1:28" ht="30" customHeight="1">
      <c r="A191" s="355"/>
      <c r="B191" s="82"/>
      <c r="C191" s="65" t="str">
        <f>"Category C   " &amp; IFERROR(VLOOKUP(G$185,$AF:$AG,2,FALSE),"")</f>
        <v xml:space="preserve">Category C   </v>
      </c>
      <c r="D191" s="63"/>
      <c r="E191" s="544"/>
      <c r="F191" s="544"/>
      <c r="G191" s="544"/>
      <c r="H191" s="544"/>
      <c r="I191" s="506"/>
      <c r="J191" s="543"/>
      <c r="K191" s="543"/>
      <c r="L191" s="543"/>
      <c r="M191" s="540"/>
      <c r="N191" s="542"/>
      <c r="O191" s="541"/>
      <c r="P191" s="556"/>
      <c r="Q191" s="540"/>
      <c r="R191" s="542"/>
      <c r="S191" s="541"/>
      <c r="T191" s="556"/>
      <c r="U191" s="537"/>
      <c r="V191" s="509"/>
      <c r="W191" s="509"/>
      <c r="X191" s="16"/>
      <c r="Y191" s="16"/>
      <c r="Z191" s="16"/>
      <c r="AA191" s="16"/>
      <c r="AB191" s="16"/>
    </row>
    <row r="192" spans="1:28" ht="30" customHeight="1">
      <c r="A192" s="359"/>
      <c r="B192" s="183"/>
      <c r="C192" s="193" t="str">
        <f>"Category D   " &amp; IFERROR(VLOOKUP(H$185,$AF:$AG,2,FALSE),"")</f>
        <v xml:space="preserve">Category D   </v>
      </c>
      <c r="D192" s="361"/>
      <c r="E192" s="544"/>
      <c r="F192" s="544"/>
      <c r="G192" s="544"/>
      <c r="H192" s="544"/>
      <c r="I192" s="506"/>
      <c r="J192" s="543"/>
      <c r="K192" s="543"/>
      <c r="L192" s="543"/>
      <c r="M192" s="540"/>
      <c r="N192" s="542"/>
      <c r="O192" s="541"/>
      <c r="P192" s="556"/>
      <c r="Q192" s="540"/>
      <c r="R192" s="542"/>
      <c r="S192" s="541"/>
      <c r="T192" s="556"/>
      <c r="U192" s="537"/>
      <c r="V192" s="509"/>
      <c r="W192" s="509"/>
      <c r="X192" s="16"/>
      <c r="Y192" s="16"/>
      <c r="Z192" s="16"/>
      <c r="AA192" s="16"/>
      <c r="AB192" s="16"/>
    </row>
    <row r="193" spans="1:28" ht="22.5" customHeight="1">
      <c r="A193" s="350" t="s">
        <v>274</v>
      </c>
      <c r="B193" s="139"/>
      <c r="C193" s="139" t="s">
        <v>275</v>
      </c>
      <c r="D193" s="365"/>
      <c r="E193" s="544" t="str">
        <f>IF(Q193&lt;&gt;"",Q193,"")</f>
        <v/>
      </c>
      <c r="F193" s="544" t="str">
        <f>IF(R193&lt;&gt;"",R193,"")</f>
        <v/>
      </c>
      <c r="G193" s="544" t="str">
        <f>IF(S193&lt;&gt;"",S193,"")</f>
        <v/>
      </c>
      <c r="H193" s="544" t="str">
        <f>IF(T193&lt;&gt;"",T193,"")</f>
        <v/>
      </c>
      <c r="I193" s="506" t="str">
        <f>IF(Q193="NA","NA",IF(AND(Q193&lt;&gt;"",OR(Q193="NS",Q193&gt;=0)),1,"-"))</f>
        <v>-</v>
      </c>
      <c r="J193" s="543" t="str">
        <f>IF(R193="NA","NA",IF(AND(R193&lt;&gt;"",OR(R193="NS",R193&gt;=0)),1,"-"))</f>
        <v>-</v>
      </c>
      <c r="K193" s="543" t="str">
        <f>IF(S193="NA","NA",IF(AND(S193&lt;&gt;"",OR(S193="NS",S193&gt;=0)),1,"-"))</f>
        <v>-</v>
      </c>
      <c r="L193" s="543" t="str">
        <f>IF(T193="NA","NA",IF(AND(T193&lt;&gt;"",OR(T193="NS",T193&gt;=0)),1,"-"))</f>
        <v>-</v>
      </c>
      <c r="M193" s="540"/>
      <c r="N193" s="542"/>
      <c r="O193" s="541"/>
      <c r="P193" s="556"/>
      <c r="Q193" s="540"/>
      <c r="R193" s="542"/>
      <c r="S193" s="541"/>
      <c r="T193" s="556"/>
      <c r="U193" s="537"/>
      <c r="V193" s="535" t="e">
        <f>IF(COUNTIF(Q193:T200,"NA")/COUNTA(Q193:T200)=1,"NA","")</f>
        <v>#DIV/0!</v>
      </c>
      <c r="W193" s="535" t="str">
        <f>IF(COUNTIF(Q193:T200,0)&gt;0,0,"")</f>
        <v/>
      </c>
      <c r="X193" s="16"/>
      <c r="Y193" s="16"/>
      <c r="Z193" s="16"/>
      <c r="AA193" s="16"/>
      <c r="AB193" s="16"/>
    </row>
    <row r="194" spans="1:28" ht="38.25" customHeight="1">
      <c r="A194" s="383" t="s">
        <v>182</v>
      </c>
      <c r="B194" s="82"/>
      <c r="C194" s="82" t="s">
        <v>529</v>
      </c>
      <c r="D194" s="63"/>
      <c r="E194" s="544"/>
      <c r="F194" s="544"/>
      <c r="G194" s="544"/>
      <c r="H194" s="544"/>
      <c r="I194" s="506"/>
      <c r="J194" s="543"/>
      <c r="K194" s="543"/>
      <c r="L194" s="543"/>
      <c r="M194" s="540"/>
      <c r="N194" s="542"/>
      <c r="O194" s="541"/>
      <c r="P194" s="556"/>
      <c r="Q194" s="540"/>
      <c r="R194" s="542"/>
      <c r="S194" s="541"/>
      <c r="T194" s="556"/>
      <c r="U194" s="537"/>
      <c r="V194" s="509"/>
      <c r="W194" s="509"/>
      <c r="X194" s="16"/>
      <c r="Y194" s="16"/>
      <c r="Z194" s="16"/>
      <c r="AA194" s="16"/>
      <c r="AB194" s="16"/>
    </row>
    <row r="195" spans="1:28" ht="12.75">
      <c r="A195" s="355"/>
      <c r="B195" s="82"/>
      <c r="C195" s="81"/>
      <c r="D195" s="63"/>
      <c r="E195" s="544"/>
      <c r="F195" s="544"/>
      <c r="G195" s="544"/>
      <c r="H195" s="544"/>
      <c r="I195" s="506"/>
      <c r="J195" s="543"/>
      <c r="K195" s="543"/>
      <c r="L195" s="543"/>
      <c r="M195" s="540"/>
      <c r="N195" s="542"/>
      <c r="O195" s="541"/>
      <c r="P195" s="556"/>
      <c r="Q195" s="540"/>
      <c r="R195" s="542"/>
      <c r="S195" s="541"/>
      <c r="T195" s="556"/>
      <c r="U195" s="537"/>
      <c r="V195" s="509"/>
      <c r="W195" s="509"/>
      <c r="X195" s="16"/>
      <c r="Y195" s="16"/>
      <c r="Z195" s="16"/>
      <c r="AA195" s="16"/>
      <c r="AB195" s="16"/>
    </row>
    <row r="196" spans="1:28" ht="12.75">
      <c r="A196" s="355"/>
      <c r="B196" s="82"/>
      <c r="C196" s="224" t="s">
        <v>430</v>
      </c>
      <c r="D196" s="63"/>
      <c r="E196" s="544"/>
      <c r="F196" s="544"/>
      <c r="G196" s="544"/>
      <c r="H196" s="544"/>
      <c r="I196" s="506"/>
      <c r="J196" s="543"/>
      <c r="K196" s="543"/>
      <c r="L196" s="543"/>
      <c r="M196" s="540"/>
      <c r="N196" s="542"/>
      <c r="O196" s="541"/>
      <c r="P196" s="556"/>
      <c r="Q196" s="540"/>
      <c r="R196" s="542"/>
      <c r="S196" s="541"/>
      <c r="T196" s="556"/>
      <c r="U196" s="537"/>
      <c r="V196" s="509"/>
      <c r="W196" s="509"/>
      <c r="X196" s="16"/>
      <c r="Y196" s="16"/>
      <c r="Z196" s="16"/>
      <c r="AA196" s="16"/>
      <c r="AB196" s="16"/>
    </row>
    <row r="197" spans="1:28" ht="30" customHeight="1">
      <c r="A197" s="355"/>
      <c r="B197" s="82"/>
      <c r="C197" s="65" t="str">
        <f>"Category A   " &amp; IFERROR(VLOOKUP(E$193,$AF:$AG,2,FALSE),"")</f>
        <v xml:space="preserve">Category A   </v>
      </c>
      <c r="D197" s="63"/>
      <c r="E197" s="544"/>
      <c r="F197" s="544"/>
      <c r="G197" s="544"/>
      <c r="H197" s="544"/>
      <c r="I197" s="506"/>
      <c r="J197" s="543"/>
      <c r="K197" s="543"/>
      <c r="L197" s="543"/>
      <c r="M197" s="540"/>
      <c r="N197" s="542"/>
      <c r="O197" s="541"/>
      <c r="P197" s="556"/>
      <c r="Q197" s="540"/>
      <c r="R197" s="542"/>
      <c r="S197" s="541"/>
      <c r="T197" s="556"/>
      <c r="U197" s="537"/>
      <c r="V197" s="509"/>
      <c r="W197" s="509"/>
      <c r="X197" s="16"/>
      <c r="Y197" s="16"/>
      <c r="Z197" s="16"/>
      <c r="AA197" s="16"/>
      <c r="AB197" s="16"/>
    </row>
    <row r="198" spans="1:28" ht="30" customHeight="1">
      <c r="A198" s="355"/>
      <c r="B198" s="82"/>
      <c r="C198" s="65" t="str">
        <f>"Category B   " &amp; IFERROR(VLOOKUP(F$193,$AF:$AG,2,FALSE),"")</f>
        <v xml:space="preserve">Category B   </v>
      </c>
      <c r="D198" s="63"/>
      <c r="E198" s="544"/>
      <c r="F198" s="544"/>
      <c r="G198" s="544"/>
      <c r="H198" s="544"/>
      <c r="I198" s="506"/>
      <c r="J198" s="543"/>
      <c r="K198" s="543"/>
      <c r="L198" s="543"/>
      <c r="M198" s="540"/>
      <c r="N198" s="542"/>
      <c r="O198" s="541"/>
      <c r="P198" s="556"/>
      <c r="Q198" s="540"/>
      <c r="R198" s="542"/>
      <c r="S198" s="541"/>
      <c r="T198" s="556"/>
      <c r="U198" s="537"/>
      <c r="V198" s="509"/>
      <c r="W198" s="509"/>
      <c r="X198" s="16"/>
      <c r="Y198" s="16"/>
      <c r="Z198" s="16"/>
      <c r="AA198" s="16"/>
      <c r="AB198" s="16"/>
    </row>
    <row r="199" spans="1:28" ht="30" customHeight="1">
      <c r="A199" s="355"/>
      <c r="B199" s="82"/>
      <c r="C199" s="65" t="str">
        <f>"Category C   " &amp; IFERROR(VLOOKUP(G$193,$AF:$AG,2,FALSE),"")</f>
        <v xml:space="preserve">Category C   </v>
      </c>
      <c r="D199" s="63"/>
      <c r="E199" s="544"/>
      <c r="F199" s="544"/>
      <c r="G199" s="544"/>
      <c r="H199" s="544"/>
      <c r="I199" s="506"/>
      <c r="J199" s="543"/>
      <c r="K199" s="543"/>
      <c r="L199" s="543"/>
      <c r="M199" s="540"/>
      <c r="N199" s="542"/>
      <c r="O199" s="541"/>
      <c r="P199" s="556"/>
      <c r="Q199" s="540"/>
      <c r="R199" s="542"/>
      <c r="S199" s="541"/>
      <c r="T199" s="556"/>
      <c r="U199" s="537"/>
      <c r="V199" s="509"/>
      <c r="W199" s="509"/>
      <c r="X199" s="16"/>
      <c r="Y199" s="16"/>
      <c r="Z199" s="16"/>
      <c r="AA199" s="16"/>
      <c r="AB199" s="16"/>
    </row>
    <row r="200" spans="1:28" ht="30" customHeight="1">
      <c r="A200" s="359"/>
      <c r="B200" s="183"/>
      <c r="C200" s="193" t="str">
        <f>"Category D   " &amp; IFERROR(VLOOKUP(H$193,$AF:$AG,2,FALSE),"")</f>
        <v xml:space="preserve">Category D   </v>
      </c>
      <c r="D200" s="361"/>
      <c r="E200" s="544"/>
      <c r="F200" s="544"/>
      <c r="G200" s="544"/>
      <c r="H200" s="544"/>
      <c r="I200" s="506"/>
      <c r="J200" s="543"/>
      <c r="K200" s="543"/>
      <c r="L200" s="543"/>
      <c r="M200" s="540"/>
      <c r="N200" s="542"/>
      <c r="O200" s="541"/>
      <c r="P200" s="556"/>
      <c r="Q200" s="540"/>
      <c r="R200" s="542"/>
      <c r="S200" s="541"/>
      <c r="T200" s="556"/>
      <c r="U200" s="538"/>
      <c r="V200" s="509"/>
      <c r="W200" s="509"/>
      <c r="X200" s="16"/>
      <c r="Y200" s="16"/>
      <c r="Z200" s="16"/>
      <c r="AA200" s="16"/>
      <c r="AB200" s="16"/>
    </row>
    <row r="201" spans="1:28" ht="22.5" customHeight="1">
      <c r="A201" s="350" t="s">
        <v>100</v>
      </c>
      <c r="B201" s="139"/>
      <c r="C201" s="139" t="s">
        <v>276</v>
      </c>
      <c r="D201" s="365"/>
      <c r="E201" s="544" t="str">
        <f>IF(Q201&lt;&gt;"",Q201,"")</f>
        <v/>
      </c>
      <c r="F201" s="544" t="str">
        <f>IF(R201&lt;&gt;"",R201,"")</f>
        <v/>
      </c>
      <c r="G201" s="544" t="str">
        <f>IF(S201&lt;&gt;"",S201,"")</f>
        <v/>
      </c>
      <c r="H201" s="544" t="str">
        <f>IF(T201&lt;&gt;"",T201,"")</f>
        <v/>
      </c>
      <c r="I201" s="506" t="str">
        <f>IF(Q201="NA","NA",IF(AND(Q201&lt;&gt;"",OR(Q201="NS",Q201&gt;=0)),1,"-"))</f>
        <v>-</v>
      </c>
      <c r="J201" s="543" t="str">
        <f>IF(R201="NA","NA",IF(AND(R201&lt;&gt;"",OR(R201="NS",R201&gt;=0)),1,"-"))</f>
        <v>-</v>
      </c>
      <c r="K201" s="543" t="str">
        <f>IF(S201="NA","NA",IF(AND(S201&lt;&gt;"",OR(S201="NS",S201&gt;=0)),1,"-"))</f>
        <v>-</v>
      </c>
      <c r="L201" s="543" t="str">
        <f>IF(T201="NA","NA",IF(AND(T201&lt;&gt;"",OR(T201="NS",T201&gt;=0)),1,"-"))</f>
        <v>-</v>
      </c>
      <c r="M201" s="540"/>
      <c r="N201" s="542"/>
      <c r="O201" s="541"/>
      <c r="P201" s="556"/>
      <c r="Q201" s="540"/>
      <c r="R201" s="542"/>
      <c r="S201" s="541"/>
      <c r="T201" s="556"/>
      <c r="U201" s="531"/>
      <c r="V201" s="535" t="e">
        <f>IF(COUNTIF(Q201:T208,"NA")/COUNTA(Q201:T208)=1,"NA","")</f>
        <v>#DIV/0!</v>
      </c>
      <c r="W201" s="535" t="str">
        <f>IF(COUNTIF(Q201:T208,0)&gt;0,0,"")</f>
        <v/>
      </c>
      <c r="X201" s="16"/>
      <c r="Y201" s="16"/>
      <c r="Z201" s="16"/>
      <c r="AA201" s="16"/>
      <c r="AB201" s="16"/>
    </row>
    <row r="202" spans="1:28" ht="114.75" customHeight="1">
      <c r="A202" s="383" t="s">
        <v>182</v>
      </c>
      <c r="B202" s="82"/>
      <c r="C202" s="82" t="s">
        <v>530</v>
      </c>
      <c r="D202" s="63"/>
      <c r="E202" s="544"/>
      <c r="F202" s="544"/>
      <c r="G202" s="544"/>
      <c r="H202" s="544"/>
      <c r="I202" s="506"/>
      <c r="J202" s="543"/>
      <c r="K202" s="543"/>
      <c r="L202" s="543"/>
      <c r="M202" s="540"/>
      <c r="N202" s="542"/>
      <c r="O202" s="541"/>
      <c r="P202" s="556"/>
      <c r="Q202" s="540"/>
      <c r="R202" s="542"/>
      <c r="S202" s="541"/>
      <c r="T202" s="556"/>
      <c r="U202" s="533"/>
      <c r="V202" s="509"/>
      <c r="W202" s="509"/>
      <c r="X202" s="16"/>
      <c r="Y202" s="16"/>
      <c r="Z202" s="16"/>
      <c r="AA202" s="16"/>
      <c r="AB202" s="16"/>
    </row>
    <row r="203" spans="1:28" ht="12.75">
      <c r="A203" s="356"/>
      <c r="B203" s="61"/>
      <c r="C203" s="82"/>
      <c r="D203" s="63"/>
      <c r="E203" s="544"/>
      <c r="F203" s="544"/>
      <c r="G203" s="544"/>
      <c r="H203" s="544"/>
      <c r="I203" s="506"/>
      <c r="J203" s="543"/>
      <c r="K203" s="543"/>
      <c r="L203" s="543"/>
      <c r="M203" s="540"/>
      <c r="N203" s="542"/>
      <c r="O203" s="541"/>
      <c r="P203" s="556"/>
      <c r="Q203" s="540"/>
      <c r="R203" s="542"/>
      <c r="S203" s="541"/>
      <c r="T203" s="556"/>
      <c r="U203" s="533"/>
      <c r="V203" s="509"/>
      <c r="W203" s="509"/>
      <c r="X203" s="16"/>
      <c r="Y203" s="16"/>
      <c r="Z203" s="16"/>
      <c r="AA203" s="16"/>
      <c r="AB203" s="16"/>
    </row>
    <row r="204" spans="1:28" ht="12.75">
      <c r="A204" s="355"/>
      <c r="B204" s="82"/>
      <c r="C204" s="224" t="s">
        <v>430</v>
      </c>
      <c r="D204" s="63"/>
      <c r="E204" s="544"/>
      <c r="F204" s="544"/>
      <c r="G204" s="544"/>
      <c r="H204" s="544"/>
      <c r="I204" s="506"/>
      <c r="J204" s="543"/>
      <c r="K204" s="543"/>
      <c r="L204" s="543"/>
      <c r="M204" s="540"/>
      <c r="N204" s="542"/>
      <c r="O204" s="541"/>
      <c r="P204" s="556"/>
      <c r="Q204" s="540"/>
      <c r="R204" s="542"/>
      <c r="S204" s="541"/>
      <c r="T204" s="556"/>
      <c r="U204" s="533"/>
      <c r="V204" s="509"/>
      <c r="W204" s="509"/>
      <c r="X204" s="16"/>
      <c r="Y204" s="16"/>
      <c r="Z204" s="16"/>
      <c r="AA204" s="16"/>
      <c r="AB204" s="16"/>
    </row>
    <row r="205" spans="1:28" ht="30" customHeight="1">
      <c r="A205" s="355"/>
      <c r="B205" s="82"/>
      <c r="C205" s="65" t="str">
        <f>"Category A   " &amp; IFERROR(VLOOKUP(E$201,$AF:$AG,2,FALSE),"")</f>
        <v xml:space="preserve">Category A   </v>
      </c>
      <c r="D205" s="63"/>
      <c r="E205" s="544"/>
      <c r="F205" s="544"/>
      <c r="G205" s="544"/>
      <c r="H205" s="544"/>
      <c r="I205" s="506"/>
      <c r="J205" s="543"/>
      <c r="K205" s="543"/>
      <c r="L205" s="543"/>
      <c r="M205" s="540"/>
      <c r="N205" s="542"/>
      <c r="O205" s="541"/>
      <c r="P205" s="556"/>
      <c r="Q205" s="540"/>
      <c r="R205" s="542"/>
      <c r="S205" s="541"/>
      <c r="T205" s="556"/>
      <c r="U205" s="533"/>
      <c r="V205" s="509"/>
      <c r="W205" s="509"/>
      <c r="X205" s="16"/>
      <c r="Y205" s="16"/>
      <c r="Z205" s="16"/>
      <c r="AA205" s="16"/>
      <c r="AB205" s="16"/>
    </row>
    <row r="206" spans="1:28" ht="30" customHeight="1">
      <c r="A206" s="355"/>
      <c r="B206" s="82"/>
      <c r="C206" s="65" t="str">
        <f>"Category B   " &amp; IFERROR(VLOOKUP(F$201,$AF:$AG,2,FALSE),"")</f>
        <v xml:space="preserve">Category B   </v>
      </c>
      <c r="D206" s="63"/>
      <c r="E206" s="544"/>
      <c r="F206" s="544"/>
      <c r="G206" s="544"/>
      <c r="H206" s="544"/>
      <c r="I206" s="506"/>
      <c r="J206" s="543"/>
      <c r="K206" s="543"/>
      <c r="L206" s="543"/>
      <c r="M206" s="540"/>
      <c r="N206" s="542"/>
      <c r="O206" s="541"/>
      <c r="P206" s="556"/>
      <c r="Q206" s="540"/>
      <c r="R206" s="542"/>
      <c r="S206" s="541"/>
      <c r="T206" s="556"/>
      <c r="U206" s="533"/>
      <c r="V206" s="509"/>
      <c r="W206" s="509"/>
      <c r="X206" s="16"/>
      <c r="Y206" s="16"/>
      <c r="Z206" s="16"/>
      <c r="AA206" s="16"/>
      <c r="AB206" s="16"/>
    </row>
    <row r="207" spans="1:28" ht="30" customHeight="1">
      <c r="A207" s="355"/>
      <c r="B207" s="82"/>
      <c r="C207" s="65" t="str">
        <f>"Category C   " &amp; IFERROR(VLOOKUP(G$201,$AF:$AG,2,FALSE),"")</f>
        <v xml:space="preserve">Category C   </v>
      </c>
      <c r="D207" s="63"/>
      <c r="E207" s="544"/>
      <c r="F207" s="544"/>
      <c r="G207" s="544"/>
      <c r="H207" s="544"/>
      <c r="I207" s="506"/>
      <c r="J207" s="543"/>
      <c r="K207" s="543"/>
      <c r="L207" s="543"/>
      <c r="M207" s="540"/>
      <c r="N207" s="542"/>
      <c r="O207" s="541"/>
      <c r="P207" s="556"/>
      <c r="Q207" s="540"/>
      <c r="R207" s="542"/>
      <c r="S207" s="541"/>
      <c r="T207" s="556"/>
      <c r="U207" s="533"/>
      <c r="V207" s="509"/>
      <c r="W207" s="509"/>
      <c r="X207" s="16"/>
      <c r="Y207" s="16"/>
      <c r="Z207" s="16"/>
      <c r="AA207" s="16"/>
      <c r="AB207" s="16"/>
    </row>
    <row r="208" spans="1:28" ht="30" customHeight="1">
      <c r="A208" s="359"/>
      <c r="B208" s="183"/>
      <c r="C208" s="193" t="str">
        <f>"Category D   " &amp; IFERROR(VLOOKUP(H$201,$AF:$AG,2,FALSE),"")</f>
        <v xml:space="preserve">Category D   </v>
      </c>
      <c r="D208" s="361"/>
      <c r="E208" s="544"/>
      <c r="F208" s="544"/>
      <c r="G208" s="544"/>
      <c r="H208" s="544"/>
      <c r="I208" s="506"/>
      <c r="J208" s="543"/>
      <c r="K208" s="543"/>
      <c r="L208" s="543"/>
      <c r="M208" s="540"/>
      <c r="N208" s="542"/>
      <c r="O208" s="541"/>
      <c r="P208" s="556"/>
      <c r="Q208" s="540"/>
      <c r="R208" s="542"/>
      <c r="S208" s="541"/>
      <c r="T208" s="556"/>
      <c r="U208" s="584"/>
      <c r="V208" s="509"/>
      <c r="W208" s="509"/>
      <c r="X208" s="16"/>
      <c r="Y208" s="16"/>
      <c r="Z208" s="16"/>
      <c r="AA208" s="16"/>
      <c r="AB208" s="16"/>
    </row>
    <row r="209" spans="1:28" ht="22.5" customHeight="1">
      <c r="A209" s="348">
        <v>4.5</v>
      </c>
      <c r="B209" s="126"/>
      <c r="C209" s="126" t="s">
        <v>101</v>
      </c>
      <c r="D209" s="366"/>
      <c r="E209" s="544"/>
      <c r="F209" s="544"/>
      <c r="G209" s="544"/>
      <c r="H209" s="544"/>
      <c r="I209" s="235"/>
      <c r="J209" s="236"/>
      <c r="K209" s="236"/>
      <c r="L209" s="236"/>
      <c r="M209" s="236"/>
      <c r="N209" s="236"/>
      <c r="O209" s="236"/>
      <c r="P209" s="236"/>
      <c r="Q209" s="236"/>
      <c r="R209" s="236"/>
      <c r="S209" s="236"/>
      <c r="T209" s="236"/>
      <c r="U209" s="237"/>
      <c r="V209" s="237"/>
      <c r="W209" s="304"/>
      <c r="X209" s="16"/>
      <c r="Y209" s="16"/>
      <c r="Z209" s="16"/>
      <c r="AA209" s="16"/>
      <c r="AB209" s="16"/>
    </row>
    <row r="210" spans="1:28" ht="22.5" customHeight="1">
      <c r="A210" s="350" t="s">
        <v>102</v>
      </c>
      <c r="B210" s="139"/>
      <c r="C210" s="139" t="s">
        <v>277</v>
      </c>
      <c r="D210" s="365"/>
      <c r="E210" s="544" t="str">
        <f>IF(Q210&lt;&gt;"",Q210,"")</f>
        <v/>
      </c>
      <c r="F210" s="544" t="str">
        <f>IF(R210&lt;&gt;"",R210,"")</f>
        <v/>
      </c>
      <c r="G210" s="544" t="str">
        <f>IF(S210&lt;&gt;"",S210,"")</f>
        <v/>
      </c>
      <c r="H210" s="544" t="str">
        <f>IF(T210&lt;&gt;"",T210,"")</f>
        <v/>
      </c>
      <c r="I210" s="506" t="str">
        <f>IF(Q210="NA","NA",IF(AND(Q210&lt;&gt;"",OR(Q210="NS",Q210&gt;=0)),2,"-"))</f>
        <v>-</v>
      </c>
      <c r="J210" s="506" t="str">
        <f>IF(R210="NA","NA",IF(AND(R210&lt;&gt;"",OR(R210="NS",R210&gt;=0)),2,"-"))</f>
        <v>-</v>
      </c>
      <c r="K210" s="506" t="str">
        <f>IF(S210="NA","NA",IF(AND(S210&lt;&gt;"",OR(S210="NS",S210&gt;=0)),2,"-"))</f>
        <v>-</v>
      </c>
      <c r="L210" s="506" t="str">
        <f>IF(T210="NA","NA",IF(AND(T210&lt;&gt;"",OR(T210="NS",T210&gt;=0)),2,"-"))</f>
        <v>-</v>
      </c>
      <c r="M210" s="540"/>
      <c r="N210" s="542"/>
      <c r="O210" s="541"/>
      <c r="P210" s="556"/>
      <c r="Q210" s="540"/>
      <c r="R210" s="542"/>
      <c r="S210" s="541"/>
      <c r="T210" s="556"/>
      <c r="U210" s="585"/>
      <c r="V210" s="535" t="e">
        <f>IF(COUNTIF(Q210:T218,"NA")/COUNTA(Q210:T218)=1,"NA","")</f>
        <v>#DIV/0!</v>
      </c>
      <c r="W210" s="535" t="str">
        <f>IF(COUNTIF(Q210:T218,0)&gt;0,0,"")</f>
        <v/>
      </c>
      <c r="X210" s="16"/>
      <c r="Y210" s="16"/>
      <c r="Z210" s="16"/>
      <c r="AA210" s="16"/>
      <c r="AB210" s="16"/>
    </row>
    <row r="211" spans="1:28" ht="22.5" customHeight="1">
      <c r="A211" s="352"/>
      <c r="B211" s="59"/>
      <c r="C211" s="401" t="str">
        <f>_xlfn.IFNA(VLOOKUP($C$17,$AG$331:$AJ$346,4,FALSE),"Insert the Building Type under EU 1.")</f>
        <v>For all building types excluding residential:</v>
      </c>
      <c r="D211" s="63"/>
      <c r="E211" s="544"/>
      <c r="F211" s="544"/>
      <c r="G211" s="544"/>
      <c r="H211" s="544"/>
      <c r="I211" s="506"/>
      <c r="J211" s="506"/>
      <c r="K211" s="506"/>
      <c r="L211" s="506"/>
      <c r="M211" s="540"/>
      <c r="N211" s="542"/>
      <c r="O211" s="541"/>
      <c r="P211" s="556"/>
      <c r="Q211" s="540"/>
      <c r="R211" s="542"/>
      <c r="S211" s="541"/>
      <c r="T211" s="556"/>
      <c r="U211" s="532"/>
      <c r="V211" s="509"/>
      <c r="W211" s="509"/>
      <c r="X211" s="16"/>
      <c r="Y211" s="16"/>
      <c r="Z211" s="16"/>
      <c r="AA211" s="16"/>
      <c r="AB211" s="16"/>
    </row>
    <row r="212" spans="1:28" ht="204" customHeight="1">
      <c r="A212" s="383" t="s">
        <v>178</v>
      </c>
      <c r="B212" s="82"/>
      <c r="C212" s="82" t="str">
        <f>IFERROR(VLOOKUP(C211,$AG:$AH,2,FALSE),"-")</f>
        <v>1 credit for demonstrating the fulfilment of at least 3 items out of the following strategies.
2 credits for demonstrating the fulfilment of all of the following strategies.
a) Consideration of built form and building orientation to enhance energy conservation;
b) Consideration of optimum spatial planning to enhance energy conservation;
c) Consideration of building permeability provisions of building features to enhance the use of natural ventilation;
d) Provision of fixed or movable horizontal/vertical external shading devices; and
e) Provision of movable external shading devices for major atrium facade windows or skylights.</v>
      </c>
      <c r="D212" s="63"/>
      <c r="E212" s="544"/>
      <c r="F212" s="544"/>
      <c r="G212" s="544"/>
      <c r="H212" s="544"/>
      <c r="I212" s="506"/>
      <c r="J212" s="506"/>
      <c r="K212" s="506"/>
      <c r="L212" s="506"/>
      <c r="M212" s="540"/>
      <c r="N212" s="542"/>
      <c r="O212" s="541"/>
      <c r="P212" s="556"/>
      <c r="Q212" s="540"/>
      <c r="R212" s="542"/>
      <c r="S212" s="541"/>
      <c r="T212" s="556"/>
      <c r="U212" s="533"/>
      <c r="V212" s="509"/>
      <c r="W212" s="509"/>
      <c r="X212" s="16"/>
      <c r="Y212" s="16"/>
      <c r="Z212" s="16"/>
      <c r="AA212" s="16"/>
      <c r="AB212" s="16"/>
    </row>
    <row r="213" spans="1:28" ht="12.75" customHeight="1">
      <c r="A213" s="356"/>
      <c r="B213" s="61"/>
      <c r="C213" s="82"/>
      <c r="D213" s="63"/>
      <c r="E213" s="544"/>
      <c r="F213" s="544"/>
      <c r="G213" s="544"/>
      <c r="H213" s="544"/>
      <c r="I213" s="506"/>
      <c r="J213" s="506"/>
      <c r="K213" s="506"/>
      <c r="L213" s="506"/>
      <c r="M213" s="540"/>
      <c r="N213" s="542"/>
      <c r="O213" s="541"/>
      <c r="P213" s="556"/>
      <c r="Q213" s="540"/>
      <c r="R213" s="542"/>
      <c r="S213" s="541"/>
      <c r="T213" s="556"/>
      <c r="U213" s="533"/>
      <c r="V213" s="509"/>
      <c r="W213" s="509"/>
      <c r="X213" s="16"/>
      <c r="Y213" s="16"/>
      <c r="Z213" s="16"/>
      <c r="AA213" s="16"/>
      <c r="AB213" s="16"/>
    </row>
    <row r="214" spans="1:28" ht="12.75">
      <c r="A214" s="355"/>
      <c r="B214" s="82"/>
      <c r="C214" s="224" t="s">
        <v>430</v>
      </c>
      <c r="D214" s="63"/>
      <c r="E214" s="544"/>
      <c r="F214" s="544"/>
      <c r="G214" s="544"/>
      <c r="H214" s="544"/>
      <c r="I214" s="506"/>
      <c r="J214" s="506"/>
      <c r="K214" s="506"/>
      <c r="L214" s="506"/>
      <c r="M214" s="540"/>
      <c r="N214" s="542"/>
      <c r="O214" s="541"/>
      <c r="P214" s="556"/>
      <c r="Q214" s="540"/>
      <c r="R214" s="542"/>
      <c r="S214" s="541"/>
      <c r="T214" s="556"/>
      <c r="U214" s="533"/>
      <c r="V214" s="509"/>
      <c r="W214" s="509"/>
      <c r="X214" s="16"/>
      <c r="Y214" s="16"/>
      <c r="Z214" s="16"/>
      <c r="AA214" s="16"/>
      <c r="AB214" s="16"/>
    </row>
    <row r="215" spans="1:28" ht="30" customHeight="1">
      <c r="A215" s="355"/>
      <c r="B215" s="82"/>
      <c r="C215" s="65" t="str">
        <f>"Category A   " &amp; IFERROR(VLOOKUP(E$210,$AF:$AG,2,FALSE),"")</f>
        <v xml:space="preserve">Category A   </v>
      </c>
      <c r="D215" s="63"/>
      <c r="E215" s="544"/>
      <c r="F215" s="544"/>
      <c r="G215" s="544"/>
      <c r="H215" s="544"/>
      <c r="I215" s="506"/>
      <c r="J215" s="506"/>
      <c r="K215" s="506"/>
      <c r="L215" s="506"/>
      <c r="M215" s="540"/>
      <c r="N215" s="542"/>
      <c r="O215" s="541"/>
      <c r="P215" s="556"/>
      <c r="Q215" s="540"/>
      <c r="R215" s="542"/>
      <c r="S215" s="541"/>
      <c r="T215" s="556"/>
      <c r="U215" s="533"/>
      <c r="V215" s="509"/>
      <c r="W215" s="509"/>
      <c r="X215" s="16"/>
      <c r="Y215" s="16"/>
      <c r="Z215" s="16"/>
      <c r="AA215" s="16"/>
      <c r="AB215" s="16"/>
    </row>
    <row r="216" spans="1:28" ht="30" customHeight="1">
      <c r="A216" s="355"/>
      <c r="B216" s="82"/>
      <c r="C216" s="65" t="str">
        <f>"Category B   " &amp; IFERROR(VLOOKUP(F$210,$AF:$AG,2,FALSE),"")</f>
        <v xml:space="preserve">Category B   </v>
      </c>
      <c r="D216" s="63"/>
      <c r="E216" s="544"/>
      <c r="F216" s="544"/>
      <c r="G216" s="544"/>
      <c r="H216" s="544"/>
      <c r="I216" s="506"/>
      <c r="J216" s="506"/>
      <c r="K216" s="506"/>
      <c r="L216" s="506"/>
      <c r="M216" s="540"/>
      <c r="N216" s="542"/>
      <c r="O216" s="541"/>
      <c r="P216" s="556"/>
      <c r="Q216" s="540"/>
      <c r="R216" s="542"/>
      <c r="S216" s="541"/>
      <c r="T216" s="556"/>
      <c r="U216" s="533"/>
      <c r="V216" s="509"/>
      <c r="W216" s="509"/>
      <c r="X216" s="16"/>
      <c r="Y216" s="16"/>
      <c r="Z216" s="16"/>
      <c r="AA216" s="16"/>
      <c r="AB216" s="16"/>
    </row>
    <row r="217" spans="1:28" ht="30" customHeight="1">
      <c r="A217" s="355"/>
      <c r="B217" s="82"/>
      <c r="C217" s="65" t="str">
        <f>"Category C   " &amp; IFERROR(VLOOKUP(G$210,$AF:$AG,2,FALSE),"")</f>
        <v xml:space="preserve">Category C   </v>
      </c>
      <c r="D217" s="63"/>
      <c r="E217" s="544"/>
      <c r="F217" s="544"/>
      <c r="G217" s="544"/>
      <c r="H217" s="544"/>
      <c r="I217" s="506"/>
      <c r="J217" s="506"/>
      <c r="K217" s="506"/>
      <c r="L217" s="506"/>
      <c r="M217" s="540"/>
      <c r="N217" s="542"/>
      <c r="O217" s="541"/>
      <c r="P217" s="556"/>
      <c r="Q217" s="540"/>
      <c r="R217" s="542"/>
      <c r="S217" s="541"/>
      <c r="T217" s="556"/>
      <c r="U217" s="533"/>
      <c r="V217" s="509"/>
      <c r="W217" s="509"/>
      <c r="X217" s="16"/>
      <c r="Y217" s="16"/>
      <c r="Z217" s="16"/>
      <c r="AA217" s="16"/>
      <c r="AB217" s="16"/>
    </row>
    <row r="218" spans="1:28" ht="30" customHeight="1">
      <c r="A218" s="359"/>
      <c r="B218" s="183"/>
      <c r="C218" s="193" t="str">
        <f>"Category D   " &amp; IFERROR(VLOOKUP(H$210,$AF:$AG,2,FALSE),"")</f>
        <v xml:space="preserve">Category D   </v>
      </c>
      <c r="D218" s="361"/>
      <c r="E218" s="544"/>
      <c r="F218" s="544"/>
      <c r="G218" s="544"/>
      <c r="H218" s="544"/>
      <c r="I218" s="493"/>
      <c r="J218" s="493"/>
      <c r="K218" s="493"/>
      <c r="L218" s="493"/>
      <c r="M218" s="514"/>
      <c r="N218" s="587"/>
      <c r="O218" s="588"/>
      <c r="P218" s="589"/>
      <c r="Q218" s="514"/>
      <c r="R218" s="587"/>
      <c r="S218" s="588"/>
      <c r="T218" s="589"/>
      <c r="U218" s="586"/>
      <c r="V218" s="510"/>
      <c r="W218" s="509"/>
      <c r="X218" s="16"/>
      <c r="Y218" s="16"/>
      <c r="Z218" s="16"/>
      <c r="AA218" s="16"/>
      <c r="AB218" s="16"/>
    </row>
    <row r="219" spans="1:28" ht="22.5" customHeight="1">
      <c r="A219" s="498" t="s">
        <v>389</v>
      </c>
      <c r="B219" s="499"/>
      <c r="C219" s="499"/>
      <c r="D219" s="297"/>
      <c r="E219" s="173">
        <f>I219</f>
        <v>15</v>
      </c>
      <c r="F219" s="173">
        <f>J219</f>
        <v>0</v>
      </c>
      <c r="G219" s="173">
        <f>K219</f>
        <v>0</v>
      </c>
      <c r="H219" s="173">
        <f>L219</f>
        <v>0</v>
      </c>
      <c r="I219" s="173">
        <f>SUM(I210:I218,I176:I208,I138:I170,I113:I136,I88:I111,I76,I16:I74)</f>
        <v>15</v>
      </c>
      <c r="J219" s="173">
        <f>SUM(J210:J218,J176:J208,J138:J170,J113:J136,J88:J111,J76,J16:J74)</f>
        <v>0</v>
      </c>
      <c r="K219" s="173">
        <f>SUM(K210:K218,K176:K208,K138:K170,K113:K136,K88:K111,K76,K16:K74)</f>
        <v>0</v>
      </c>
      <c r="L219" s="173">
        <f>SUM(L210:L218,L176:L208,L138:L170,L113:L136,L88:L111,L76,L16:L74)</f>
        <v>0</v>
      </c>
      <c r="M219" s="173"/>
      <c r="N219" s="173"/>
      <c r="O219" s="173"/>
      <c r="P219" s="173"/>
      <c r="Q219" s="173"/>
      <c r="R219" s="173"/>
      <c r="S219" s="173"/>
      <c r="T219" s="173"/>
      <c r="U219" s="585" t="s">
        <v>427</v>
      </c>
      <c r="V219" s="585"/>
      <c r="W219" s="535"/>
      <c r="X219" s="16"/>
      <c r="Y219" s="16"/>
      <c r="Z219" s="16"/>
      <c r="AA219" s="16"/>
      <c r="AB219" s="16"/>
    </row>
    <row r="220" spans="1:28" ht="22.5" customHeight="1">
      <c r="A220" s="576" t="s">
        <v>390</v>
      </c>
      <c r="B220" s="577"/>
      <c r="C220" s="577"/>
      <c r="D220" s="367"/>
      <c r="E220" s="187">
        <f>Q220</f>
        <v>15</v>
      </c>
      <c r="F220" s="187">
        <f>R220</f>
        <v>0</v>
      </c>
      <c r="G220" s="187">
        <f>S220</f>
        <v>0</v>
      </c>
      <c r="H220" s="187">
        <f>T220</f>
        <v>0</v>
      </c>
      <c r="I220" s="240"/>
      <c r="J220" s="240"/>
      <c r="K220" s="240"/>
      <c r="L220" s="240"/>
      <c r="M220" s="240">
        <f>SUM(M16:M83,M88:M170,M176:M218)</f>
        <v>0</v>
      </c>
      <c r="N220" s="240">
        <f>SUM(N16:N83,N88:N170,N176:N218)</f>
        <v>0</v>
      </c>
      <c r="O220" s="240">
        <f>SUM(O16:O83,O88:O170,O176:O218)</f>
        <v>0</v>
      </c>
      <c r="P220" s="240">
        <f>SUM(P16:P83,P88:P170,P176:P218)</f>
        <v>0</v>
      </c>
      <c r="Q220" s="240">
        <f>SUM(Q16:Q83,Q88:Q170,Q176:Q218)</f>
        <v>15</v>
      </c>
      <c r="R220" s="240">
        <f>SUM(R16:R83,R88:R170,R176:R218)</f>
        <v>0</v>
      </c>
      <c r="S220" s="240">
        <f>SUM(S16:S83,S88:S170,S176:S218)</f>
        <v>0</v>
      </c>
      <c r="T220" s="240">
        <f>SUM(T16:T83,T88:T170,T176:T218)</f>
        <v>0</v>
      </c>
      <c r="U220" s="534"/>
      <c r="V220" s="534"/>
      <c r="W220" s="529"/>
      <c r="X220" s="16"/>
      <c r="Y220" s="16"/>
      <c r="Z220" s="16"/>
      <c r="AA220" s="16"/>
      <c r="AB220" s="16"/>
    </row>
    <row r="221" spans="1:28" ht="22.5" customHeight="1">
      <c r="A221" s="16"/>
      <c r="B221" s="16"/>
      <c r="C221" s="16"/>
      <c r="D221" s="16"/>
      <c r="E221" s="16"/>
      <c r="F221" s="16"/>
      <c r="G221" s="16"/>
      <c r="H221" s="16"/>
      <c r="I221" s="16"/>
      <c r="J221" s="16"/>
      <c r="K221" s="16"/>
      <c r="L221" s="16"/>
      <c r="M221" s="16"/>
      <c r="N221" s="16"/>
      <c r="O221" s="16"/>
      <c r="P221" s="16"/>
      <c r="Q221" s="16"/>
      <c r="R221" s="16"/>
      <c r="S221" s="16"/>
      <c r="T221" s="16"/>
      <c r="X221" s="16"/>
      <c r="Y221" s="16"/>
      <c r="Z221" s="16"/>
      <c r="AA221" s="16"/>
      <c r="AB221" s="16"/>
    </row>
    <row r="222" spans="1:28" ht="22.5" customHeight="1">
      <c r="A222" s="553"/>
      <c r="B222" s="553"/>
      <c r="C222" s="553"/>
      <c r="D222" s="16"/>
      <c r="E222" s="16"/>
      <c r="F222" s="16"/>
      <c r="G222" s="16"/>
      <c r="H222" s="16"/>
      <c r="I222" s="16"/>
      <c r="J222" s="16"/>
      <c r="K222" s="16"/>
      <c r="L222" s="16"/>
      <c r="M222" s="16"/>
      <c r="N222" s="16"/>
      <c r="O222" s="16"/>
      <c r="P222" s="16"/>
      <c r="Q222" s="16"/>
      <c r="R222" s="16"/>
      <c r="S222" s="16"/>
      <c r="T222" s="16"/>
      <c r="U222" s="242"/>
      <c r="X222" s="16"/>
      <c r="Y222" s="16"/>
      <c r="Z222" s="16"/>
      <c r="AA222" s="16"/>
      <c r="AB222" s="16"/>
    </row>
    <row r="223" spans="1:28" ht="12.75">
      <c r="A223" s="554"/>
      <c r="B223" s="554"/>
      <c r="C223" s="554"/>
      <c r="D223" s="243"/>
      <c r="E223" s="16"/>
      <c r="F223" s="16"/>
      <c r="G223" s="16"/>
      <c r="H223" s="16"/>
      <c r="I223" s="16"/>
      <c r="J223" s="16"/>
      <c r="K223" s="16"/>
      <c r="L223" s="16"/>
      <c r="M223" s="16"/>
      <c r="N223" s="16"/>
      <c r="O223" s="16"/>
      <c r="P223" s="16"/>
      <c r="Q223" s="16"/>
      <c r="R223" s="16"/>
      <c r="S223" s="16"/>
      <c r="T223" s="16"/>
      <c r="U223" s="242"/>
      <c r="X223" s="16"/>
      <c r="Y223" s="16"/>
      <c r="Z223" s="16"/>
      <c r="AA223" s="16"/>
      <c r="AB223" s="16"/>
    </row>
    <row r="224" spans="1:28" ht="12.75">
      <c r="A224" s="554"/>
      <c r="B224" s="554"/>
      <c r="C224" s="554"/>
      <c r="D224" s="63"/>
      <c r="E224" s="16"/>
      <c r="F224" s="16"/>
      <c r="G224" s="16"/>
      <c r="H224" s="16"/>
      <c r="I224" s="16"/>
      <c r="J224" s="16"/>
      <c r="K224" s="16"/>
      <c r="L224" s="16"/>
      <c r="M224" s="16"/>
      <c r="N224" s="16"/>
      <c r="O224" s="16"/>
      <c r="P224" s="16"/>
      <c r="Q224" s="16"/>
      <c r="R224" s="16"/>
      <c r="S224" s="16"/>
      <c r="T224" s="16"/>
      <c r="U224" s="242"/>
      <c r="X224" s="16"/>
      <c r="Y224" s="16"/>
      <c r="Z224" s="16"/>
      <c r="AA224" s="16"/>
      <c r="AB224" s="16"/>
    </row>
    <row r="225" spans="1:28" ht="12.75">
      <c r="A225" s="554"/>
      <c r="B225" s="554"/>
      <c r="C225" s="554"/>
      <c r="D225" s="63"/>
      <c r="E225" s="16"/>
      <c r="F225" s="16"/>
      <c r="G225" s="16"/>
      <c r="H225" s="16"/>
      <c r="I225" s="16"/>
      <c r="J225" s="16"/>
      <c r="K225" s="16"/>
      <c r="L225" s="16"/>
      <c r="M225" s="16"/>
      <c r="N225" s="16"/>
      <c r="O225" s="16"/>
      <c r="P225" s="16"/>
      <c r="Q225" s="16"/>
      <c r="R225" s="16"/>
      <c r="S225" s="16"/>
      <c r="T225" s="16"/>
      <c r="U225" s="242"/>
      <c r="X225" s="16"/>
      <c r="Y225" s="16"/>
      <c r="Z225" s="16"/>
      <c r="AA225" s="16"/>
      <c r="AB225" s="16"/>
    </row>
    <row r="226" spans="1:28" ht="22.5" customHeight="1">
      <c r="A226" s="555"/>
      <c r="B226" s="555"/>
      <c r="C226" s="555"/>
      <c r="D226" s="87"/>
      <c r="E226" s="16"/>
      <c r="F226" s="16"/>
      <c r="G226" s="16"/>
      <c r="H226" s="16"/>
      <c r="I226" s="16"/>
      <c r="J226" s="16"/>
      <c r="K226" s="16"/>
      <c r="L226" s="16"/>
      <c r="M226" s="16"/>
      <c r="N226" s="16"/>
      <c r="O226" s="16"/>
      <c r="P226" s="16"/>
      <c r="Q226" s="16"/>
      <c r="R226" s="16"/>
      <c r="S226" s="16"/>
      <c r="T226" s="16"/>
      <c r="U226" s="242"/>
      <c r="X226" s="16"/>
      <c r="Y226" s="16"/>
      <c r="Z226" s="16"/>
      <c r="AA226" s="16"/>
      <c r="AB226" s="16"/>
    </row>
    <row r="227" spans="1:28" ht="22.5" customHeight="1">
      <c r="A227" s="555"/>
      <c r="B227" s="555"/>
      <c r="C227" s="555"/>
      <c r="D227" s="87"/>
      <c r="E227" s="16"/>
      <c r="F227" s="16"/>
      <c r="G227" s="16"/>
      <c r="H227" s="16"/>
      <c r="I227" s="16"/>
      <c r="J227" s="16"/>
      <c r="K227" s="16"/>
      <c r="L227" s="16"/>
      <c r="M227" s="16"/>
      <c r="N227" s="16"/>
      <c r="O227" s="16"/>
      <c r="P227" s="16"/>
      <c r="Q227" s="16"/>
      <c r="R227" s="16"/>
      <c r="S227" s="16"/>
      <c r="T227" s="16"/>
      <c r="U227" s="242"/>
      <c r="X227" s="16"/>
      <c r="Y227" s="16"/>
      <c r="Z227" s="16"/>
      <c r="AA227" s="16"/>
      <c r="AB227" s="16"/>
    </row>
    <row r="228" spans="1:28" ht="22.5" customHeight="1">
      <c r="A228" s="555"/>
      <c r="B228" s="555"/>
      <c r="C228" s="555"/>
      <c r="D228" s="87"/>
      <c r="E228" s="16"/>
      <c r="F228" s="16"/>
      <c r="G228" s="16"/>
      <c r="H228" s="16"/>
      <c r="I228" s="16"/>
      <c r="J228" s="16"/>
      <c r="K228" s="16"/>
      <c r="L228" s="16"/>
      <c r="M228" s="16"/>
      <c r="N228" s="16"/>
      <c r="O228" s="16"/>
      <c r="P228" s="16"/>
      <c r="Q228" s="16"/>
      <c r="R228" s="16"/>
      <c r="S228" s="16"/>
      <c r="T228" s="16"/>
      <c r="U228" s="242"/>
      <c r="X228" s="16"/>
      <c r="Y228" s="16"/>
      <c r="Z228" s="16"/>
      <c r="AA228" s="16"/>
      <c r="AB228" s="16"/>
    </row>
    <row r="229" spans="1:28" ht="22.5" customHeight="1">
      <c r="A229" s="555"/>
      <c r="B229" s="555"/>
      <c r="C229" s="555"/>
      <c r="D229" s="87"/>
      <c r="E229" s="16"/>
      <c r="F229" s="16"/>
      <c r="G229" s="16"/>
      <c r="H229" s="16"/>
      <c r="I229" s="16"/>
      <c r="J229" s="16"/>
      <c r="K229" s="16"/>
      <c r="L229" s="16"/>
      <c r="M229" s="16"/>
      <c r="N229" s="16"/>
      <c r="O229" s="16"/>
      <c r="P229" s="16"/>
      <c r="Q229" s="16"/>
      <c r="R229" s="16"/>
      <c r="S229" s="16"/>
      <c r="T229" s="16"/>
      <c r="U229" s="242"/>
      <c r="X229" s="16"/>
      <c r="Y229" s="16"/>
      <c r="Z229" s="16"/>
      <c r="AA229" s="16"/>
      <c r="AB229" s="16"/>
    </row>
    <row r="230" spans="1:28" ht="22.5" customHeight="1">
      <c r="A230" s="551"/>
      <c r="B230" s="551"/>
      <c r="C230" s="551"/>
      <c r="D230" s="87"/>
      <c r="E230" s="16"/>
      <c r="F230" s="16"/>
      <c r="G230" s="16"/>
      <c r="H230" s="16"/>
      <c r="I230" s="16"/>
      <c r="J230" s="16"/>
      <c r="K230" s="16"/>
      <c r="L230" s="16"/>
      <c r="M230" s="16"/>
      <c r="N230" s="16"/>
      <c r="O230" s="16"/>
      <c r="P230" s="16"/>
      <c r="Q230" s="16"/>
      <c r="R230" s="16"/>
      <c r="S230" s="16"/>
      <c r="T230" s="16"/>
      <c r="U230" s="242"/>
      <c r="X230" s="16"/>
      <c r="Y230" s="16"/>
      <c r="Z230" s="16"/>
      <c r="AA230" s="16"/>
      <c r="AB230" s="16"/>
    </row>
    <row r="231" spans="1:28" ht="22.5" customHeight="1">
      <c r="A231" s="552" t="s">
        <v>369</v>
      </c>
      <c r="B231" s="552"/>
      <c r="C231" s="552"/>
      <c r="D231" s="62"/>
      <c r="E231" s="16"/>
      <c r="F231" s="16"/>
      <c r="G231" s="16"/>
      <c r="H231" s="16"/>
      <c r="I231" s="16"/>
      <c r="J231" s="16"/>
      <c r="K231" s="16"/>
      <c r="L231" s="16"/>
      <c r="M231" s="16"/>
      <c r="N231" s="16"/>
      <c r="O231" s="16"/>
      <c r="P231" s="16"/>
      <c r="Q231" s="16"/>
      <c r="R231" s="16"/>
      <c r="S231" s="16"/>
      <c r="T231" s="16"/>
    </row>
    <row r="232" spans="1:28" ht="22.5" customHeight="1">
      <c r="A232" s="244"/>
    </row>
    <row r="233" spans="1:28" ht="22.5" customHeight="1">
      <c r="A233" s="244"/>
    </row>
    <row r="234" spans="1:28" ht="22.5" customHeight="1">
      <c r="A234" s="244"/>
    </row>
    <row r="235" spans="1:28" ht="22.5" customHeight="1">
      <c r="A235" s="244"/>
    </row>
    <row r="236" spans="1:28" ht="22.5" customHeight="1">
      <c r="A236" s="244"/>
    </row>
    <row r="237" spans="1:28" ht="22.5" customHeight="1">
      <c r="A237" s="244"/>
    </row>
    <row r="238" spans="1:28" ht="22.5" customHeight="1">
      <c r="A238" s="244"/>
    </row>
    <row r="239" spans="1:28" ht="22.5" customHeight="1">
      <c r="A239" s="244"/>
    </row>
    <row r="240" spans="1:28" ht="22.5" customHeight="1">
      <c r="A240" s="244"/>
    </row>
    <row r="241" spans="1:1" ht="22.5" customHeight="1">
      <c r="A241" s="244"/>
    </row>
    <row r="242" spans="1:1" ht="22.5" customHeight="1">
      <c r="A242" s="244"/>
    </row>
    <row r="243" spans="1:1" ht="22.5" customHeight="1">
      <c r="A243" s="244"/>
    </row>
    <row r="244" spans="1:1" ht="22.5" customHeight="1">
      <c r="A244" s="244"/>
    </row>
    <row r="245" spans="1:1" ht="22.5" customHeight="1">
      <c r="A245" s="244"/>
    </row>
    <row r="246" spans="1:1" ht="22.5" customHeight="1">
      <c r="A246" s="244"/>
    </row>
    <row r="247" spans="1:1" ht="22.5" customHeight="1">
      <c r="A247" s="244"/>
    </row>
    <row r="248" spans="1:1" ht="22.5" customHeight="1">
      <c r="A248" s="244"/>
    </row>
    <row r="249" spans="1:1" ht="22.5" customHeight="1">
      <c r="A249" s="244"/>
    </row>
    <row r="250" spans="1:1" ht="22.5" customHeight="1">
      <c r="A250" s="244"/>
    </row>
    <row r="251" spans="1:1" ht="22.5" customHeight="1">
      <c r="A251" s="244"/>
    </row>
    <row r="252" spans="1:1" ht="22.5" customHeight="1">
      <c r="A252" s="244"/>
    </row>
    <row r="253" spans="1:1" ht="22.5" customHeight="1">
      <c r="A253" s="244"/>
    </row>
    <row r="254" spans="1:1" ht="22.5" customHeight="1">
      <c r="A254" s="244"/>
    </row>
    <row r="255" spans="1:1" ht="22.5" customHeight="1">
      <c r="A255" s="244"/>
    </row>
    <row r="256" spans="1:1" ht="22.5" customHeight="1">
      <c r="A256" s="244"/>
    </row>
    <row r="257" spans="1:1" ht="22.5" customHeight="1">
      <c r="A257" s="244"/>
    </row>
    <row r="258" spans="1:1" ht="22.5" customHeight="1">
      <c r="A258" s="244"/>
    </row>
    <row r="259" spans="1:1" ht="22.5" customHeight="1">
      <c r="A259" s="244"/>
    </row>
    <row r="260" spans="1:1" ht="22.5" customHeight="1">
      <c r="A260" s="244"/>
    </row>
    <row r="261" spans="1:1" ht="22.5" customHeight="1">
      <c r="A261" s="244"/>
    </row>
    <row r="262" spans="1:1" ht="22.5" customHeight="1">
      <c r="A262" s="244"/>
    </row>
    <row r="263" spans="1:1" ht="22.5" customHeight="1">
      <c r="A263" s="244"/>
    </row>
    <row r="264" spans="1:1" ht="22.5" customHeight="1">
      <c r="A264" s="244"/>
    </row>
    <row r="265" spans="1:1" ht="22.5" customHeight="1">
      <c r="A265" s="244"/>
    </row>
    <row r="266" spans="1:1" ht="22.5" customHeight="1">
      <c r="A266" s="244"/>
    </row>
    <row r="267" spans="1:1" ht="22.5" customHeight="1">
      <c r="A267" s="244"/>
    </row>
    <row r="268" spans="1:1" ht="22.5" customHeight="1">
      <c r="A268" s="244"/>
    </row>
    <row r="269" spans="1:1" ht="22.5" customHeight="1">
      <c r="A269" s="244"/>
    </row>
    <row r="270" spans="1:1" ht="22.5" customHeight="1">
      <c r="A270" s="244"/>
    </row>
    <row r="271" spans="1:1" ht="22.5" customHeight="1">
      <c r="A271" s="244"/>
    </row>
    <row r="272" spans="1:1" ht="22.5" customHeight="1">
      <c r="A272" s="244"/>
    </row>
    <row r="273" spans="1:1" ht="22.5" customHeight="1">
      <c r="A273" s="244"/>
    </row>
    <row r="274" spans="1:1" ht="22.5" customHeight="1">
      <c r="A274" s="244"/>
    </row>
    <row r="275" spans="1:1" ht="22.5" customHeight="1">
      <c r="A275" s="244"/>
    </row>
    <row r="276" spans="1:1" ht="22.5" customHeight="1">
      <c r="A276" s="244"/>
    </row>
    <row r="277" spans="1:1" ht="22.5" customHeight="1">
      <c r="A277" s="244"/>
    </row>
    <row r="278" spans="1:1" ht="22.5" customHeight="1">
      <c r="A278" s="244"/>
    </row>
    <row r="279" spans="1:1" ht="22.5" customHeight="1">
      <c r="A279" s="244"/>
    </row>
    <row r="280" spans="1:1" ht="22.5" customHeight="1">
      <c r="A280" s="244"/>
    </row>
    <row r="281" spans="1:1" ht="22.5" customHeight="1">
      <c r="A281" s="244"/>
    </row>
    <row r="282" spans="1:1" ht="22.5" customHeight="1">
      <c r="A282" s="244"/>
    </row>
    <row r="283" spans="1:1" ht="22.5" customHeight="1">
      <c r="A283" s="244"/>
    </row>
    <row r="284" spans="1:1" ht="22.5" customHeight="1">
      <c r="A284" s="244"/>
    </row>
    <row r="285" spans="1:1" ht="22.5" customHeight="1">
      <c r="A285" s="244"/>
    </row>
    <row r="286" spans="1:1" ht="22.5" customHeight="1">
      <c r="A286" s="244"/>
    </row>
    <row r="287" spans="1:1" ht="22.5" customHeight="1">
      <c r="A287" s="244"/>
    </row>
    <row r="288" spans="1:1" ht="22.5" customHeight="1">
      <c r="A288" s="244"/>
    </row>
    <row r="289" spans="1:48" ht="22.5" customHeight="1">
      <c r="A289" s="244"/>
    </row>
    <row r="290" spans="1:48" ht="22.5" customHeight="1">
      <c r="A290" s="244"/>
    </row>
    <row r="291" spans="1:48" ht="22.5" customHeight="1">
      <c r="A291" s="244"/>
    </row>
    <row r="292" spans="1:48" ht="22.5" customHeight="1">
      <c r="A292" s="244"/>
    </row>
    <row r="293" spans="1:48" ht="22.5" customHeight="1">
      <c r="A293" s="244"/>
    </row>
    <row r="294" spans="1:48" ht="22.5" customHeight="1">
      <c r="A294" s="244"/>
    </row>
    <row r="295" spans="1:48" ht="22.5" customHeight="1">
      <c r="A295" s="244"/>
    </row>
    <row r="296" spans="1:48" ht="22.5" customHeight="1">
      <c r="A296" s="244"/>
    </row>
    <row r="297" spans="1:48" ht="22.5" customHeight="1">
      <c r="A297" s="244"/>
    </row>
    <row r="298" spans="1:48" ht="22.5" customHeight="1">
      <c r="A298" s="244"/>
    </row>
    <row r="299" spans="1:48" ht="22.5" customHeight="1">
      <c r="A299" s="244"/>
    </row>
    <row r="300" spans="1:48" ht="22.5" customHeight="1">
      <c r="A300" s="244"/>
      <c r="AG300" s="245"/>
      <c r="AH300" s="245"/>
      <c r="AI300" s="245"/>
      <c r="AJ300" s="245"/>
      <c r="AK300" s="245"/>
      <c r="AL300" s="245"/>
      <c r="AM300" s="245"/>
      <c r="AN300" s="245"/>
      <c r="AO300" s="245"/>
      <c r="AP300" s="245"/>
      <c r="AQ300" s="245"/>
      <c r="AR300" s="245"/>
      <c r="AS300" s="245"/>
      <c r="AT300" s="245"/>
      <c r="AU300" s="245"/>
      <c r="AV300" s="245"/>
    </row>
    <row r="301" spans="1:48" ht="36.75" customHeight="1">
      <c r="A301" s="244"/>
      <c r="AG301" s="245"/>
      <c r="AH301" s="245"/>
      <c r="AI301" s="245"/>
      <c r="AJ301" s="245"/>
      <c r="AK301" s="245"/>
      <c r="AL301" s="245"/>
      <c r="AM301" s="245"/>
      <c r="AN301" s="245"/>
      <c r="AO301" s="245"/>
      <c r="AP301" s="245"/>
      <c r="AQ301" s="245"/>
      <c r="AR301" s="245"/>
      <c r="AS301" s="245"/>
      <c r="AT301" s="245"/>
      <c r="AU301" s="245"/>
      <c r="AV301" s="245"/>
    </row>
    <row r="302" spans="1:48" ht="22.5" customHeight="1">
      <c r="A302" s="244"/>
      <c r="AG302" s="245"/>
      <c r="AH302" s="245"/>
      <c r="AI302" s="245"/>
      <c r="AJ302" s="245"/>
      <c r="AK302" s="245"/>
      <c r="AL302" s="245"/>
      <c r="AM302" s="245"/>
      <c r="AN302" s="245"/>
      <c r="AO302" s="245"/>
      <c r="AP302" s="245"/>
      <c r="AQ302" s="245"/>
      <c r="AR302" s="245"/>
      <c r="AS302" s="245"/>
      <c r="AT302" s="245"/>
      <c r="AU302" s="245"/>
      <c r="AV302" s="245"/>
    </row>
    <row r="303" spans="1:48" ht="22.5" customHeight="1">
      <c r="A303" s="244"/>
      <c r="AG303" s="245"/>
      <c r="AH303" s="245"/>
      <c r="AI303" s="245"/>
      <c r="AJ303" s="245"/>
      <c r="AK303" s="245"/>
      <c r="AL303" s="245"/>
      <c r="AM303" s="245"/>
      <c r="AN303" s="245"/>
      <c r="AO303" s="245"/>
      <c r="AP303" s="245"/>
      <c r="AQ303" s="245"/>
      <c r="AR303" s="245"/>
      <c r="AS303" s="245"/>
      <c r="AT303" s="245"/>
      <c r="AU303" s="245"/>
      <c r="AV303" s="245"/>
    </row>
    <row r="304" spans="1:48" ht="31.5" customHeight="1">
      <c r="A304" s="244"/>
      <c r="AG304" s="245"/>
      <c r="AH304" s="245"/>
      <c r="AI304" s="245"/>
      <c r="AJ304" s="245"/>
      <c r="AK304" s="245"/>
      <c r="AL304" s="245"/>
      <c r="AM304" s="245"/>
      <c r="AN304" s="245"/>
      <c r="AO304" s="245"/>
      <c r="AP304" s="245"/>
      <c r="AQ304" s="245"/>
      <c r="AR304" s="245"/>
      <c r="AS304" s="245"/>
      <c r="AT304" s="245"/>
      <c r="AU304" s="245"/>
      <c r="AV304" s="245"/>
    </row>
    <row r="305" spans="1:36" ht="22.5" customHeight="1">
      <c r="A305" s="244"/>
    </row>
    <row r="306" spans="1:36" ht="22.5" customHeight="1">
      <c r="A306" s="244"/>
    </row>
    <row r="307" spans="1:36" ht="22.5" customHeight="1">
      <c r="A307" s="244"/>
    </row>
    <row r="308" spans="1:36" ht="22.5" customHeight="1">
      <c r="A308" s="244"/>
      <c r="AI308" s="84" t="s">
        <v>3</v>
      </c>
      <c r="AJ308" t="str">
        <f>"The prerequisite is achieved in the " &amp; 'Project Summary'!C9&amp; "."</f>
        <v>The prerequisite is achieved in the Provisional Assessment.</v>
      </c>
    </row>
    <row r="309" spans="1:36" ht="22.5" customHeight="1">
      <c r="A309" s="244"/>
      <c r="AF309" t="s">
        <v>379</v>
      </c>
      <c r="AG309" t="str">
        <f>"No information was submitted. Credit is not achieved in the "&amp; 'Project Summary'!C9 &amp; "."</f>
        <v>No information was submitted. Credit is not achieved in the Provisional Assessment.</v>
      </c>
      <c r="AI309" s="84" t="s">
        <v>4</v>
      </c>
      <c r="AJ309" t="str">
        <f>"The prerequisite is not applicable in the " &amp; 'Project Summary'!C9&amp; "."</f>
        <v>The prerequisite is not applicable in the Provisional Assessment.</v>
      </c>
    </row>
    <row r="310" spans="1:36" ht="22.5" customHeight="1">
      <c r="A310" s="244"/>
      <c r="AF310" t="s">
        <v>4</v>
      </c>
      <c r="AG310" t="str">
        <f>"Credit is not applicable in the "&amp; 'Project Summary'!C9 &amp; "."</f>
        <v>Credit is not applicable in the Provisional Assessment.</v>
      </c>
      <c r="AI310" s="84">
        <v>0</v>
      </c>
      <c r="AJ310" t="str">
        <f>"The prerequisite is not achieved in the " &amp; 'Project Summary'!C9&amp; "."</f>
        <v>The prerequisite is not achieved in the Provisional Assessment.</v>
      </c>
    </row>
    <row r="311" spans="1:36" ht="22.5" customHeight="1">
      <c r="A311" s="244"/>
      <c r="AF311">
        <v>0</v>
      </c>
      <c r="AG311" t="str">
        <f>"Credit is not achieved in the "&amp; 'Project Summary'!C9 &amp; "."</f>
        <v>Credit is not achieved in the Provisional Assessment.</v>
      </c>
    </row>
    <row r="312" spans="1:36" ht="22.5" customHeight="1">
      <c r="A312" s="244"/>
      <c r="AF312">
        <v>1</v>
      </c>
      <c r="AG312" t="str">
        <f>"1 credit is achieved in the "&amp; 'Project Summary'!C9 &amp; "."</f>
        <v>1 credit is achieved in the Provisional Assessment.</v>
      </c>
    </row>
    <row r="313" spans="1:36" ht="22.5" customHeight="1">
      <c r="A313" s="244"/>
      <c r="AF313">
        <v>2</v>
      </c>
      <c r="AG313" t="str">
        <f>"2 credits are achieved in the "&amp; 'Project Summary'!C9 &amp; "."</f>
        <v>2 credits are achieved in the Provisional Assessment.</v>
      </c>
    </row>
    <row r="314" spans="1:36" ht="22.5" customHeight="1">
      <c r="A314" s="244"/>
    </row>
    <row r="315" spans="1:36" ht="22.5" customHeight="1">
      <c r="A315" s="244"/>
      <c r="AF315">
        <v>3</v>
      </c>
      <c r="AG315" t="str">
        <f>"3 credits are achieved in the "&amp; 'Project Summary'!C9 &amp; "."</f>
        <v>3 credits are achieved in the Provisional Assessment.</v>
      </c>
    </row>
    <row r="316" spans="1:36" ht="22.5" customHeight="1">
      <c r="A316" s="244"/>
      <c r="AF316">
        <v>4</v>
      </c>
      <c r="AG316" t="str">
        <f>"4 credits are achieved in the "&amp; 'Project Summary'!C9 &amp; "."</f>
        <v>4 credits are achieved in the Provisional Assessment.</v>
      </c>
    </row>
    <row r="317" spans="1:36" ht="22.5" customHeight="1">
      <c r="A317" s="244"/>
      <c r="AF317">
        <v>5</v>
      </c>
      <c r="AG317" t="str">
        <f>"5 credits are achieved in the "&amp; 'Project Summary'!C9 &amp; "."</f>
        <v>5 credits are achieved in the Provisional Assessment.</v>
      </c>
    </row>
    <row r="318" spans="1:36" ht="22.5" customHeight="1">
      <c r="A318" s="244"/>
      <c r="AF318">
        <v>6</v>
      </c>
      <c r="AG318" t="str">
        <f>"6 credits are achieved in the "&amp; 'Project Summary'!C9 &amp; "."</f>
        <v>6 credits are achieved in the Provisional Assessment.</v>
      </c>
    </row>
    <row r="319" spans="1:36" ht="22.5" customHeight="1">
      <c r="A319" s="244"/>
      <c r="AF319">
        <v>7</v>
      </c>
      <c r="AG319" t="str">
        <f>"7 credits are achieved in the "&amp; 'Project Summary'!C9 &amp; "."</f>
        <v>7 credits are achieved in the Provisional Assessment.</v>
      </c>
    </row>
    <row r="320" spans="1:36" ht="22.5" customHeight="1">
      <c r="A320" s="244"/>
      <c r="AF320">
        <v>8</v>
      </c>
      <c r="AG320" t="str">
        <f>"8 credits are achieved in the "&amp; 'Project Summary'!C9 &amp; "."</f>
        <v>8 credits are achieved in the Provisional Assessment.</v>
      </c>
    </row>
    <row r="321" spans="1:36" ht="22.5" customHeight="1">
      <c r="A321" s="244"/>
      <c r="AF321">
        <v>9</v>
      </c>
      <c r="AG321" t="str">
        <f>"9 credits are achieved in the "&amp; 'Project Summary'!C9 &amp; "."</f>
        <v>9 credits are achieved in the Provisional Assessment.</v>
      </c>
    </row>
    <row r="322" spans="1:36" ht="22.5" customHeight="1">
      <c r="A322" s="244"/>
      <c r="AF322">
        <v>10</v>
      </c>
      <c r="AG322" t="str">
        <f>"10 credits are achieved in the "&amp; 'Project Summary'!C9 &amp; "."</f>
        <v>10 credits are achieved in the Provisional Assessment.</v>
      </c>
    </row>
    <row r="323" spans="1:36" ht="22.5" customHeight="1">
      <c r="A323" s="244"/>
      <c r="AF323">
        <v>11</v>
      </c>
      <c r="AG323" t="str">
        <f>"11 credits are achieved in the "&amp; 'Project Summary'!C9 &amp; "."</f>
        <v>11 credits are achieved in the Provisional Assessment.</v>
      </c>
    </row>
    <row r="324" spans="1:36" ht="22.5" customHeight="1">
      <c r="A324" s="244"/>
      <c r="AF324">
        <v>12</v>
      </c>
      <c r="AG324" t="str">
        <f>"12 credits are achieved in the "&amp; 'Project Summary'!C9 &amp; "."</f>
        <v>12 credits are achieved in the Provisional Assessment.</v>
      </c>
    </row>
    <row r="325" spans="1:36" ht="22.5" customHeight="1">
      <c r="A325" s="244"/>
      <c r="AF325">
        <v>13</v>
      </c>
      <c r="AG325" t="str">
        <f>"13 credits are achieved in the "&amp; 'Project Summary'!C9 &amp; "."</f>
        <v>13 credits are achieved in the Provisional Assessment.</v>
      </c>
    </row>
    <row r="326" spans="1:36" ht="22.5" customHeight="1">
      <c r="A326" s="244"/>
      <c r="AF326">
        <v>14</v>
      </c>
      <c r="AG326" t="str">
        <f>"14 credits are achieved in the "&amp; 'Project Summary'!C9 &amp; "."</f>
        <v>14 credits are achieved in the Provisional Assessment.</v>
      </c>
    </row>
    <row r="327" spans="1:36" ht="22.5" customHeight="1">
      <c r="A327" s="244"/>
      <c r="AF327">
        <v>15</v>
      </c>
      <c r="AG327" t="str">
        <f>"15 credits are achieved in the "&amp; 'Project Summary'!C9 &amp; "."</f>
        <v>15 credits are achieved in the Provisional Assessment.</v>
      </c>
    </row>
    <row r="328" spans="1:36" ht="22.5" customHeight="1">
      <c r="A328" s="244"/>
      <c r="AF328" t="s">
        <v>383</v>
      </c>
      <c r="AG328" s="18" t="str">
        <f>"1 Bonus credit is achieved in the "&amp; 'Project Summary'!C9 &amp; "."</f>
        <v>1 Bonus credit is achieved in the Provisional Assessment.</v>
      </c>
    </row>
    <row r="329" spans="1:36" ht="22.5" customHeight="1">
      <c r="A329" s="244"/>
    </row>
    <row r="330" spans="1:36" ht="22.5" customHeight="1">
      <c r="A330" s="244"/>
      <c r="AG330" s="83" t="s">
        <v>420</v>
      </c>
    </row>
    <row r="331" spans="1:36" ht="22.5" customHeight="1">
      <c r="A331" s="244"/>
      <c r="AG331" t="s">
        <v>605</v>
      </c>
      <c r="AH331" s="245" t="s">
        <v>606</v>
      </c>
      <c r="AI331" s="245" t="s">
        <v>607</v>
      </c>
      <c r="AJ331" s="245" t="s">
        <v>532</v>
      </c>
    </row>
    <row r="332" spans="1:36" ht="22.5" customHeight="1">
      <c r="A332" s="244"/>
      <c r="AG332" t="s">
        <v>608</v>
      </c>
      <c r="AH332" s="245" t="s">
        <v>609</v>
      </c>
      <c r="AI332" s="245" t="s">
        <v>610</v>
      </c>
      <c r="AJ332" s="245" t="s">
        <v>532</v>
      </c>
    </row>
    <row r="333" spans="1:36" ht="22.5" customHeight="1">
      <c r="A333" s="244"/>
      <c r="AG333" t="s">
        <v>611</v>
      </c>
      <c r="AH333" s="245" t="s">
        <v>612</v>
      </c>
      <c r="AI333" s="245" t="s">
        <v>610</v>
      </c>
      <c r="AJ333" s="245" t="s">
        <v>531</v>
      </c>
    </row>
    <row r="334" spans="1:36" ht="22.5" customHeight="1">
      <c r="A334" s="244"/>
      <c r="AG334" t="s">
        <v>613</v>
      </c>
      <c r="AH334" s="245" t="s">
        <v>614</v>
      </c>
      <c r="AI334" s="245" t="s">
        <v>615</v>
      </c>
      <c r="AJ334" s="245" t="s">
        <v>532</v>
      </c>
    </row>
    <row r="335" spans="1:36" ht="22.5" customHeight="1">
      <c r="A335" s="244"/>
      <c r="AG335" t="s">
        <v>616</v>
      </c>
      <c r="AH335" s="245" t="s">
        <v>617</v>
      </c>
      <c r="AI335" s="245" t="s">
        <v>618</v>
      </c>
      <c r="AJ335" s="245" t="s">
        <v>532</v>
      </c>
    </row>
    <row r="336" spans="1:36" ht="22.5" customHeight="1">
      <c r="A336" s="244"/>
      <c r="AG336" t="s">
        <v>619</v>
      </c>
      <c r="AH336" s="245" t="s">
        <v>620</v>
      </c>
      <c r="AI336" s="245" t="s">
        <v>621</v>
      </c>
      <c r="AJ336" s="245" t="s">
        <v>532</v>
      </c>
    </row>
    <row r="337" spans="1:36" ht="22.5" customHeight="1">
      <c r="A337" s="244"/>
      <c r="AG337" t="s">
        <v>622</v>
      </c>
      <c r="AH337" s="245" t="s">
        <v>623</v>
      </c>
      <c r="AI337" s="245" t="s">
        <v>621</v>
      </c>
      <c r="AJ337" s="245" t="s">
        <v>531</v>
      </c>
    </row>
    <row r="338" spans="1:36" ht="22.5" customHeight="1">
      <c r="A338" s="244"/>
      <c r="AG338" t="s">
        <v>624</v>
      </c>
      <c r="AH338" s="245" t="s">
        <v>625</v>
      </c>
      <c r="AI338" s="245" t="s">
        <v>626</v>
      </c>
      <c r="AJ338" s="245" t="s">
        <v>532</v>
      </c>
    </row>
    <row r="339" spans="1:36" ht="22.5" customHeight="1">
      <c r="A339" s="244"/>
      <c r="AG339" t="s">
        <v>627</v>
      </c>
      <c r="AH339" s="245" t="s">
        <v>628</v>
      </c>
      <c r="AI339" s="245" t="s">
        <v>629</v>
      </c>
      <c r="AJ339" s="245" t="s">
        <v>532</v>
      </c>
    </row>
    <row r="340" spans="1:36" ht="22.5" customHeight="1">
      <c r="A340" s="244"/>
      <c r="AG340" t="s">
        <v>630</v>
      </c>
      <c r="AH340" s="245" t="s">
        <v>620</v>
      </c>
      <c r="AI340" s="245" t="s">
        <v>631</v>
      </c>
      <c r="AJ340" s="245" t="s">
        <v>532</v>
      </c>
    </row>
    <row r="341" spans="1:36" ht="22.5" customHeight="1">
      <c r="A341" s="244"/>
      <c r="AG341" t="s">
        <v>632</v>
      </c>
      <c r="AH341" s="245" t="s">
        <v>633</v>
      </c>
      <c r="AI341" s="245" t="s">
        <v>631</v>
      </c>
      <c r="AJ341" s="245" t="s">
        <v>531</v>
      </c>
    </row>
    <row r="342" spans="1:36" ht="22.5" customHeight="1">
      <c r="A342" s="244"/>
      <c r="AG342" t="s">
        <v>634</v>
      </c>
      <c r="AH342" s="245" t="s">
        <v>625</v>
      </c>
      <c r="AI342" s="245" t="s">
        <v>635</v>
      </c>
      <c r="AJ342" s="245" t="s">
        <v>532</v>
      </c>
    </row>
    <row r="343" spans="1:36" ht="22.5" customHeight="1">
      <c r="A343" s="244"/>
      <c r="AG343" s="405" t="s">
        <v>646</v>
      </c>
      <c r="AH343" s="406" t="s">
        <v>647</v>
      </c>
      <c r="AI343" s="406" t="s">
        <v>648</v>
      </c>
      <c r="AJ343" s="406" t="s">
        <v>532</v>
      </c>
    </row>
    <row r="344" spans="1:36" ht="22.5" customHeight="1">
      <c r="A344" s="244"/>
      <c r="AG344" s="405" t="s">
        <v>649</v>
      </c>
      <c r="AH344" s="406" t="s">
        <v>650</v>
      </c>
      <c r="AI344" s="406" t="s">
        <v>651</v>
      </c>
      <c r="AJ344" s="406" t="s">
        <v>532</v>
      </c>
    </row>
    <row r="345" spans="1:36" ht="22.5" customHeight="1">
      <c r="A345" s="244"/>
      <c r="AG345" s="407" t="s">
        <v>652</v>
      </c>
      <c r="AH345" s="408" t="s">
        <v>653</v>
      </c>
      <c r="AI345" s="408" t="s">
        <v>651</v>
      </c>
      <c r="AJ345" s="408" t="s">
        <v>531</v>
      </c>
    </row>
    <row r="346" spans="1:36" ht="22.5" customHeight="1">
      <c r="A346" s="244"/>
      <c r="AG346" s="407" t="s">
        <v>654</v>
      </c>
      <c r="AH346" s="408" t="s">
        <v>625</v>
      </c>
      <c r="AI346" s="408" t="s">
        <v>655</v>
      </c>
      <c r="AJ346" s="408" t="s">
        <v>532</v>
      </c>
    </row>
    <row r="347" spans="1:36" ht="22.5" customHeight="1">
      <c r="A347" s="244"/>
    </row>
    <row r="348" spans="1:36" ht="22.5" customHeight="1">
      <c r="A348" s="244"/>
      <c r="AG348" t="s">
        <v>607</v>
      </c>
      <c r="AH348" s="18" t="s">
        <v>636</v>
      </c>
    </row>
    <row r="349" spans="1:36" ht="22.5" customHeight="1">
      <c r="A349" s="244"/>
      <c r="AG349" t="s">
        <v>610</v>
      </c>
      <c r="AH349" s="18" t="s">
        <v>637</v>
      </c>
    </row>
    <row r="350" spans="1:36" ht="22.5" customHeight="1">
      <c r="A350" s="244"/>
      <c r="AG350" t="s">
        <v>615</v>
      </c>
      <c r="AH350" s="18" t="s">
        <v>637</v>
      </c>
    </row>
    <row r="351" spans="1:36" ht="22.5" customHeight="1">
      <c r="A351" s="244"/>
      <c r="AG351" t="s">
        <v>618</v>
      </c>
      <c r="AH351" s="18" t="s">
        <v>638</v>
      </c>
    </row>
    <row r="352" spans="1:36" ht="22.5" customHeight="1">
      <c r="A352" s="244"/>
      <c r="AG352" t="s">
        <v>621</v>
      </c>
      <c r="AH352" s="18" t="s">
        <v>639</v>
      </c>
    </row>
    <row r="353" spans="1:34" ht="22.5" customHeight="1">
      <c r="A353" s="244"/>
      <c r="AG353" t="s">
        <v>626</v>
      </c>
      <c r="AH353" s="18" t="s">
        <v>640</v>
      </c>
    </row>
    <row r="354" spans="1:34" ht="22.5" customHeight="1">
      <c r="A354" s="244"/>
      <c r="AG354" t="s">
        <v>629</v>
      </c>
      <c r="AH354" s="18" t="s">
        <v>641</v>
      </c>
    </row>
    <row r="355" spans="1:34" ht="22.5" customHeight="1">
      <c r="A355" s="244"/>
      <c r="AG355" t="s">
        <v>631</v>
      </c>
      <c r="AH355" s="18" t="s">
        <v>642</v>
      </c>
    </row>
    <row r="356" spans="1:34" ht="22.5" customHeight="1">
      <c r="A356" s="244"/>
      <c r="AG356" t="s">
        <v>635</v>
      </c>
      <c r="AH356" s="18" t="s">
        <v>640</v>
      </c>
    </row>
    <row r="357" spans="1:34" ht="22.5" customHeight="1">
      <c r="A357" s="244"/>
      <c r="AG357" s="405" t="s">
        <v>648</v>
      </c>
      <c r="AH357" s="409" t="s">
        <v>656</v>
      </c>
    </row>
    <row r="358" spans="1:34" ht="22.5" customHeight="1">
      <c r="A358" s="244"/>
      <c r="AG358" s="405" t="s">
        <v>651</v>
      </c>
      <c r="AH358" s="409" t="s">
        <v>642</v>
      </c>
    </row>
    <row r="359" spans="1:34" ht="22.5" customHeight="1">
      <c r="A359" s="244"/>
      <c r="AG359" s="405" t="s">
        <v>655</v>
      </c>
      <c r="AH359" s="409" t="s">
        <v>640</v>
      </c>
    </row>
    <row r="360" spans="1:34" ht="22.5" customHeight="1">
      <c r="A360" s="244"/>
      <c r="AH360" s="18"/>
    </row>
    <row r="361" spans="1:34" ht="22.5" customHeight="1">
      <c r="A361" s="244"/>
      <c r="AF361" s="83" t="s">
        <v>420</v>
      </c>
    </row>
    <row r="362" spans="1:34" ht="22.5" customHeight="1">
      <c r="A362" s="244"/>
      <c r="AF362" s="84" t="s">
        <v>3</v>
      </c>
      <c r="AG362" t="s">
        <v>531</v>
      </c>
      <c r="AH362" s="18" t="s">
        <v>533</v>
      </c>
    </row>
    <row r="363" spans="1:34" ht="22.5" customHeight="1">
      <c r="A363" s="244"/>
      <c r="AF363" s="84" t="s">
        <v>4</v>
      </c>
      <c r="AG363" t="s">
        <v>532</v>
      </c>
      <c r="AH363" s="18" t="s">
        <v>534</v>
      </c>
    </row>
    <row r="364" spans="1:34" ht="22.5" customHeight="1">
      <c r="A364" s="244"/>
      <c r="AF364" s="84">
        <v>0</v>
      </c>
    </row>
    <row r="365" spans="1:34" ht="22.5" customHeight="1">
      <c r="A365" s="244"/>
      <c r="AF365" s="84"/>
    </row>
    <row r="366" spans="1:34" ht="22.5" customHeight="1">
      <c r="A366" s="244"/>
      <c r="AF366" s="84" t="s">
        <v>4</v>
      </c>
    </row>
    <row r="367" spans="1:34" ht="22.5" customHeight="1">
      <c r="A367" s="244"/>
      <c r="AF367" s="84" t="s">
        <v>379</v>
      </c>
    </row>
    <row r="368" spans="1:34" ht="22.5" customHeight="1">
      <c r="A368" s="244"/>
      <c r="AF368" s="84">
        <v>1</v>
      </c>
    </row>
    <row r="369" spans="1:32" ht="22.5" customHeight="1">
      <c r="A369" s="244"/>
      <c r="AF369" s="84">
        <v>0</v>
      </c>
    </row>
    <row r="370" spans="1:32" ht="22.5" customHeight="1">
      <c r="A370" s="244"/>
      <c r="AF370" s="84"/>
    </row>
    <row r="371" spans="1:32" ht="22.5" customHeight="1">
      <c r="A371" s="244"/>
      <c r="AF371" s="84" t="s">
        <v>4</v>
      </c>
    </row>
    <row r="372" spans="1:32" ht="22.5" customHeight="1">
      <c r="A372" s="244"/>
      <c r="AF372" s="84" t="s">
        <v>379</v>
      </c>
    </row>
    <row r="373" spans="1:32" ht="22.5" customHeight="1">
      <c r="A373" s="244"/>
      <c r="AF373" s="84">
        <v>2</v>
      </c>
    </row>
    <row r="374" spans="1:32" ht="22.5" customHeight="1">
      <c r="A374" s="244"/>
      <c r="AF374" s="84">
        <v>1</v>
      </c>
    </row>
    <row r="375" spans="1:32" ht="22.5" customHeight="1">
      <c r="A375" s="244"/>
      <c r="AF375" s="84">
        <v>0</v>
      </c>
    </row>
    <row r="376" spans="1:32" ht="22.5" customHeight="1">
      <c r="A376" s="244"/>
      <c r="AF376" s="84"/>
    </row>
    <row r="377" spans="1:32" ht="22.5" customHeight="1">
      <c r="A377" s="244"/>
      <c r="AF377" s="84" t="s">
        <v>4</v>
      </c>
    </row>
    <row r="378" spans="1:32" ht="22.5" customHeight="1">
      <c r="A378" s="244"/>
      <c r="AF378" s="84" t="s">
        <v>379</v>
      </c>
    </row>
    <row r="379" spans="1:32" ht="22.5" customHeight="1">
      <c r="A379" s="244"/>
      <c r="AF379" s="84">
        <v>15</v>
      </c>
    </row>
    <row r="380" spans="1:32" ht="22.5" customHeight="1">
      <c r="A380" s="244"/>
      <c r="AF380" s="84">
        <v>14</v>
      </c>
    </row>
    <row r="381" spans="1:32" ht="22.5" customHeight="1">
      <c r="A381" s="244"/>
      <c r="AF381" s="84">
        <v>13</v>
      </c>
    </row>
    <row r="382" spans="1:32" ht="22.5" customHeight="1">
      <c r="A382" s="244"/>
      <c r="AF382" s="84">
        <v>12</v>
      </c>
    </row>
    <row r="383" spans="1:32" ht="22.5" customHeight="1">
      <c r="A383" s="244"/>
      <c r="AF383" s="84">
        <v>11</v>
      </c>
    </row>
    <row r="384" spans="1:32" ht="22.5" customHeight="1">
      <c r="A384" s="244"/>
      <c r="AF384" s="84">
        <v>10</v>
      </c>
    </row>
    <row r="385" spans="1:32" ht="22.5" customHeight="1">
      <c r="A385" s="244"/>
      <c r="AF385" s="84">
        <v>9</v>
      </c>
    </row>
    <row r="386" spans="1:32" ht="22.5" customHeight="1">
      <c r="A386" s="244"/>
      <c r="AF386" s="84">
        <v>8</v>
      </c>
    </row>
    <row r="387" spans="1:32" ht="22.5" customHeight="1">
      <c r="A387" s="244"/>
      <c r="AF387" s="84">
        <v>7</v>
      </c>
    </row>
    <row r="388" spans="1:32" ht="22.5" customHeight="1">
      <c r="A388" s="244"/>
      <c r="AF388" s="84">
        <v>6</v>
      </c>
    </row>
    <row r="389" spans="1:32" ht="22.5" customHeight="1">
      <c r="A389" s="244"/>
      <c r="AF389" s="84">
        <v>5</v>
      </c>
    </row>
    <row r="390" spans="1:32" ht="22.5" customHeight="1">
      <c r="A390" s="244"/>
      <c r="AF390" s="84">
        <v>4</v>
      </c>
    </row>
    <row r="391" spans="1:32" ht="22.5" customHeight="1">
      <c r="A391" s="244"/>
      <c r="AF391" s="84">
        <v>3</v>
      </c>
    </row>
    <row r="392" spans="1:32" ht="22.5" customHeight="1">
      <c r="A392" s="244"/>
      <c r="AF392" s="84">
        <v>2</v>
      </c>
    </row>
    <row r="393" spans="1:32" ht="22.5" customHeight="1">
      <c r="A393" s="244"/>
      <c r="AF393" s="84">
        <v>1</v>
      </c>
    </row>
    <row r="394" spans="1:32" ht="22.5" customHeight="1">
      <c r="A394" s="244"/>
      <c r="AF394" s="84">
        <v>0</v>
      </c>
    </row>
    <row r="395" spans="1:32" ht="22.5" customHeight="1">
      <c r="A395" s="244"/>
      <c r="AF395" s="84"/>
    </row>
    <row r="396" spans="1:32" ht="22.5" customHeight="1">
      <c r="A396" s="244"/>
      <c r="AF396" s="84" t="s">
        <v>4</v>
      </c>
    </row>
    <row r="397" spans="1:32" ht="22.5" customHeight="1">
      <c r="A397" s="244"/>
      <c r="AF397" s="84" t="s">
        <v>379</v>
      </c>
    </row>
    <row r="398" spans="1:32" ht="22.5" customHeight="1">
      <c r="A398" s="244"/>
      <c r="AF398" s="84">
        <v>5</v>
      </c>
    </row>
    <row r="399" spans="1:32" ht="22.5" customHeight="1">
      <c r="A399" s="244"/>
      <c r="AF399" s="84">
        <v>4</v>
      </c>
    </row>
    <row r="400" spans="1:32" ht="22.5" customHeight="1">
      <c r="A400" s="244"/>
      <c r="AF400" s="84">
        <v>3</v>
      </c>
    </row>
    <row r="401" spans="1:32" ht="22.5" customHeight="1">
      <c r="A401" s="244"/>
      <c r="AF401" s="84">
        <v>2</v>
      </c>
    </row>
    <row r="402" spans="1:32" ht="22.5" customHeight="1">
      <c r="A402" s="244"/>
      <c r="AF402" s="84">
        <v>1</v>
      </c>
    </row>
    <row r="403" spans="1:32" ht="22.5" customHeight="1">
      <c r="A403" s="244"/>
      <c r="AF403" s="84">
        <v>0</v>
      </c>
    </row>
    <row r="404" spans="1:32" ht="22.5" customHeight="1">
      <c r="A404" s="244"/>
    </row>
    <row r="405" spans="1:32" ht="22.5" customHeight="1">
      <c r="A405" s="244"/>
      <c r="AF405" s="84" t="s">
        <v>4</v>
      </c>
    </row>
    <row r="406" spans="1:32" ht="22.5" customHeight="1">
      <c r="A406" s="244"/>
      <c r="AF406" s="84" t="s">
        <v>379</v>
      </c>
    </row>
    <row r="407" spans="1:32" ht="22.5" customHeight="1">
      <c r="A407" s="244"/>
      <c r="AF407" s="84">
        <v>3</v>
      </c>
    </row>
    <row r="408" spans="1:32" ht="22.5" customHeight="1">
      <c r="A408" s="244"/>
      <c r="AF408" s="84">
        <v>2</v>
      </c>
    </row>
    <row r="409" spans="1:32" ht="22.5" customHeight="1">
      <c r="A409" s="244"/>
      <c r="AF409" s="84">
        <v>1</v>
      </c>
    </row>
    <row r="410" spans="1:32" ht="22.5" customHeight="1">
      <c r="A410" s="244"/>
      <c r="AF410" s="84">
        <v>0</v>
      </c>
    </row>
    <row r="411" spans="1:32" ht="22.5" customHeight="1">
      <c r="A411" s="244"/>
    </row>
    <row r="412" spans="1:32" ht="22.5" customHeight="1">
      <c r="A412" s="244"/>
      <c r="AF412" s="84" t="s">
        <v>4</v>
      </c>
    </row>
    <row r="413" spans="1:32" ht="22.5" customHeight="1">
      <c r="A413" s="244"/>
      <c r="AF413" s="84">
        <v>15</v>
      </c>
    </row>
    <row r="414" spans="1:32" ht="22.5" customHeight="1">
      <c r="A414" s="244"/>
    </row>
    <row r="415" spans="1:32" ht="22.5" customHeight="1">
      <c r="A415" s="244"/>
      <c r="AF415" s="84" t="s">
        <v>4</v>
      </c>
    </row>
    <row r="416" spans="1:32" ht="22.5" customHeight="1">
      <c r="A416" s="244"/>
      <c r="AF416" s="84">
        <v>5</v>
      </c>
    </row>
    <row r="417" spans="1:32" ht="22.5" customHeight="1">
      <c r="A417" s="244"/>
    </row>
    <row r="418" spans="1:32" ht="22.5" customHeight="1">
      <c r="A418" s="244"/>
      <c r="AF418" s="84" t="s">
        <v>4</v>
      </c>
    </row>
    <row r="419" spans="1:32" ht="22.5" customHeight="1">
      <c r="A419" s="244"/>
      <c r="AF419" s="84">
        <v>3</v>
      </c>
    </row>
    <row r="420" spans="1:32" ht="22.5" customHeight="1">
      <c r="A420" s="244"/>
    </row>
    <row r="421" spans="1:32" ht="22.5" customHeight="1">
      <c r="A421" s="244"/>
      <c r="AF421" s="84" t="s">
        <v>4</v>
      </c>
    </row>
    <row r="422" spans="1:32" ht="22.5" customHeight="1">
      <c r="A422" s="244"/>
      <c r="AF422" s="84">
        <v>1</v>
      </c>
    </row>
    <row r="423" spans="1:32" ht="22.5" customHeight="1">
      <c r="A423" s="244"/>
    </row>
    <row r="424" spans="1:32" ht="22.5" customHeight="1">
      <c r="A424" s="244"/>
      <c r="AF424" s="84" t="s">
        <v>4</v>
      </c>
    </row>
    <row r="425" spans="1:32" ht="22.5" customHeight="1">
      <c r="A425" s="244"/>
      <c r="AF425" s="84">
        <v>2</v>
      </c>
    </row>
    <row r="426" spans="1:32" ht="22.5" customHeight="1">
      <c r="A426" s="244"/>
    </row>
    <row r="427" spans="1:32" ht="22.5" customHeight="1">
      <c r="A427" s="244"/>
      <c r="AF427" s="84" t="s">
        <v>4</v>
      </c>
    </row>
    <row r="428" spans="1:32" ht="22.5" customHeight="1">
      <c r="A428" s="244"/>
      <c r="AF428" s="84" t="s">
        <v>379</v>
      </c>
    </row>
    <row r="429" spans="1:32" ht="22.5" customHeight="1">
      <c r="A429" s="244"/>
      <c r="AF429" s="84">
        <v>6</v>
      </c>
    </row>
    <row r="430" spans="1:32" ht="22.5" customHeight="1">
      <c r="A430" s="244"/>
      <c r="AF430" s="84">
        <v>5</v>
      </c>
    </row>
    <row r="431" spans="1:32" ht="22.5" customHeight="1">
      <c r="A431" s="244"/>
      <c r="AF431" s="84">
        <v>4</v>
      </c>
    </row>
    <row r="432" spans="1:32" ht="22.5" customHeight="1">
      <c r="A432" s="244"/>
      <c r="AF432" s="84">
        <v>3</v>
      </c>
    </row>
    <row r="433" spans="1:32" ht="22.5" customHeight="1">
      <c r="A433" s="244"/>
      <c r="AF433" s="84">
        <v>2</v>
      </c>
    </row>
    <row r="434" spans="1:32" ht="22.5" customHeight="1">
      <c r="A434" s="244"/>
      <c r="AF434" s="84">
        <v>1</v>
      </c>
    </row>
    <row r="435" spans="1:32" ht="22.5" customHeight="1">
      <c r="A435" s="244"/>
      <c r="AF435" s="84">
        <v>0</v>
      </c>
    </row>
    <row r="436" spans="1:32" ht="22.5" customHeight="1">
      <c r="A436" s="244"/>
    </row>
    <row r="437" spans="1:32" ht="22.5" customHeight="1">
      <c r="A437" s="244"/>
    </row>
    <row r="438" spans="1:32" ht="22.5" customHeight="1">
      <c r="A438" s="244"/>
    </row>
    <row r="439" spans="1:32" ht="22.5" customHeight="1">
      <c r="A439" s="244"/>
    </row>
    <row r="440" spans="1:32" ht="22.5" customHeight="1">
      <c r="A440" s="244"/>
    </row>
    <row r="441" spans="1:32" ht="22.5" customHeight="1">
      <c r="A441" s="244"/>
    </row>
    <row r="442" spans="1:32" ht="22.5" customHeight="1">
      <c r="A442" s="244"/>
    </row>
    <row r="443" spans="1:32" ht="22.5" customHeight="1">
      <c r="A443" s="244"/>
    </row>
    <row r="444" spans="1:32" ht="22.5" customHeight="1">
      <c r="A444" s="244"/>
    </row>
    <row r="445" spans="1:32" ht="22.5" customHeight="1">
      <c r="A445" s="244"/>
    </row>
    <row r="446" spans="1:32" ht="22.5" customHeight="1">
      <c r="A446" s="244"/>
    </row>
    <row r="447" spans="1:32" ht="22.5" customHeight="1">
      <c r="A447" s="244"/>
    </row>
    <row r="448" spans="1:32" ht="22.5" customHeight="1">
      <c r="A448" s="244"/>
    </row>
    <row r="449" spans="1:1" ht="22.5" customHeight="1">
      <c r="A449" s="244"/>
    </row>
    <row r="450" spans="1:1" ht="22.5" customHeight="1">
      <c r="A450" s="244"/>
    </row>
    <row r="451" spans="1:1" ht="22.5" customHeight="1">
      <c r="A451" s="244"/>
    </row>
    <row r="452" spans="1:1" ht="22.5" customHeight="1">
      <c r="A452" s="244"/>
    </row>
    <row r="453" spans="1:1" ht="22.5" customHeight="1">
      <c r="A453" s="244"/>
    </row>
    <row r="454" spans="1:1" ht="22.5" customHeight="1">
      <c r="A454" s="244"/>
    </row>
    <row r="455" spans="1:1" ht="22.5" customHeight="1">
      <c r="A455" s="244"/>
    </row>
    <row r="456" spans="1:1" ht="22.5" customHeight="1">
      <c r="A456" s="244"/>
    </row>
    <row r="457" spans="1:1" ht="22.5" customHeight="1">
      <c r="A457" s="244"/>
    </row>
    <row r="458" spans="1:1" ht="22.5" customHeight="1">
      <c r="A458" s="244"/>
    </row>
    <row r="459" spans="1:1" ht="22.5" customHeight="1">
      <c r="A459" s="244"/>
    </row>
    <row r="460" spans="1:1" ht="22.5" customHeight="1">
      <c r="A460" s="244"/>
    </row>
    <row r="461" spans="1:1" ht="22.5" customHeight="1">
      <c r="A461" s="244"/>
    </row>
    <row r="462" spans="1:1" ht="22.5" customHeight="1">
      <c r="A462" s="244"/>
    </row>
    <row r="463" spans="1:1" ht="22.5" customHeight="1">
      <c r="A463" s="244"/>
    </row>
    <row r="464" spans="1:1" ht="22.5" customHeight="1">
      <c r="A464" s="244"/>
    </row>
    <row r="465" spans="1:1" ht="22.5" customHeight="1">
      <c r="A465" s="244"/>
    </row>
    <row r="466" spans="1:1" ht="22.5" customHeight="1">
      <c r="A466" s="244"/>
    </row>
    <row r="467" spans="1:1" ht="22.5" customHeight="1">
      <c r="A467" s="244"/>
    </row>
    <row r="468" spans="1:1" ht="22.5" customHeight="1">
      <c r="A468" s="244"/>
    </row>
    <row r="469" spans="1:1" ht="22.5" customHeight="1">
      <c r="A469" s="244"/>
    </row>
    <row r="470" spans="1:1" ht="22.5" customHeight="1">
      <c r="A470" s="244"/>
    </row>
    <row r="471" spans="1:1" ht="22.5" customHeight="1">
      <c r="A471" s="244"/>
    </row>
    <row r="472" spans="1:1" ht="22.5" customHeight="1">
      <c r="A472" s="244"/>
    </row>
    <row r="473" spans="1:1" ht="22.5" customHeight="1">
      <c r="A473" s="244"/>
    </row>
    <row r="474" spans="1:1" ht="22.5" customHeight="1">
      <c r="A474" s="244"/>
    </row>
    <row r="475" spans="1:1" ht="22.5" customHeight="1">
      <c r="A475" s="244"/>
    </row>
    <row r="476" spans="1:1" ht="22.5" customHeight="1">
      <c r="A476" s="244"/>
    </row>
    <row r="477" spans="1:1" ht="22.5" customHeight="1">
      <c r="A477" s="244"/>
    </row>
    <row r="478" spans="1:1" ht="22.5" customHeight="1">
      <c r="A478" s="244"/>
    </row>
    <row r="479" spans="1:1" ht="22.5" customHeight="1">
      <c r="A479" s="244"/>
    </row>
    <row r="480" spans="1:1" ht="22.5" customHeight="1">
      <c r="A480" s="244"/>
    </row>
    <row r="481" spans="1:1" ht="22.5" customHeight="1">
      <c r="A481" s="244"/>
    </row>
    <row r="482" spans="1:1" ht="22.5" customHeight="1">
      <c r="A482" s="244"/>
    </row>
    <row r="483" spans="1:1" ht="22.5" customHeight="1">
      <c r="A483" s="244"/>
    </row>
    <row r="484" spans="1:1" ht="22.5" customHeight="1">
      <c r="A484" s="244"/>
    </row>
    <row r="485" spans="1:1" ht="22.5" customHeight="1">
      <c r="A485" s="244"/>
    </row>
    <row r="486" spans="1:1" ht="22.5" customHeight="1">
      <c r="A486" s="244"/>
    </row>
    <row r="487" spans="1:1" ht="22.5" customHeight="1">
      <c r="A487" s="244"/>
    </row>
    <row r="488" spans="1:1" ht="22.5" customHeight="1">
      <c r="A488" s="244"/>
    </row>
    <row r="489" spans="1:1" ht="22.5" customHeight="1">
      <c r="A489" s="244"/>
    </row>
    <row r="490" spans="1:1" ht="22.5" customHeight="1">
      <c r="A490" s="244"/>
    </row>
    <row r="491" spans="1:1" ht="22.5" customHeight="1">
      <c r="A491" s="244"/>
    </row>
    <row r="492" spans="1:1" ht="22.5" customHeight="1">
      <c r="A492" s="244"/>
    </row>
    <row r="493" spans="1:1" ht="22.5" customHeight="1">
      <c r="A493" s="244"/>
    </row>
    <row r="494" spans="1:1" ht="22.5" customHeight="1">
      <c r="A494" s="244"/>
    </row>
    <row r="495" spans="1:1" ht="22.5" customHeight="1">
      <c r="A495" s="244"/>
    </row>
    <row r="496" spans="1:1" ht="22.5" customHeight="1">
      <c r="A496" s="244"/>
    </row>
    <row r="497" spans="1:1" ht="22.5" customHeight="1">
      <c r="A497" s="244"/>
    </row>
    <row r="498" spans="1:1" ht="22.5" customHeight="1">
      <c r="A498" s="244"/>
    </row>
    <row r="499" spans="1:1" ht="22.5" customHeight="1">
      <c r="A499" s="244"/>
    </row>
    <row r="500" spans="1:1" ht="22.5" customHeight="1">
      <c r="A500" s="244"/>
    </row>
    <row r="501" spans="1:1" ht="22.5" customHeight="1">
      <c r="A501" s="244"/>
    </row>
    <row r="502" spans="1:1" ht="22.5" customHeight="1">
      <c r="A502" s="244"/>
    </row>
    <row r="503" spans="1:1" ht="22.5" customHeight="1">
      <c r="A503" s="244"/>
    </row>
    <row r="504" spans="1:1" ht="22.5" customHeight="1">
      <c r="A504" s="244"/>
    </row>
    <row r="505" spans="1:1" ht="22.5" customHeight="1">
      <c r="A505" s="244"/>
    </row>
    <row r="506" spans="1:1" ht="22.5" customHeight="1">
      <c r="A506" s="244"/>
    </row>
    <row r="507" spans="1:1" ht="22.5" customHeight="1">
      <c r="A507" s="244"/>
    </row>
    <row r="508" spans="1:1" ht="22.5" customHeight="1">
      <c r="A508" s="244"/>
    </row>
    <row r="509" spans="1:1" ht="22.5" customHeight="1">
      <c r="A509" s="244"/>
    </row>
    <row r="510" spans="1:1" ht="22.5" customHeight="1">
      <c r="A510" s="244"/>
    </row>
    <row r="511" spans="1:1" ht="22.5" customHeight="1">
      <c r="A511" s="244"/>
    </row>
    <row r="512" spans="1:1" ht="22.5" customHeight="1">
      <c r="A512" s="244"/>
    </row>
    <row r="513" spans="1:1" ht="22.5" customHeight="1">
      <c r="A513" s="244"/>
    </row>
    <row r="514" spans="1:1" ht="22.5" customHeight="1">
      <c r="A514" s="244"/>
    </row>
    <row r="515" spans="1:1" ht="22.5" customHeight="1">
      <c r="A515" s="244"/>
    </row>
    <row r="516" spans="1:1" ht="22.5" customHeight="1">
      <c r="A516" s="244"/>
    </row>
    <row r="517" spans="1:1" ht="22.5" customHeight="1">
      <c r="A517" s="244"/>
    </row>
    <row r="518" spans="1:1" ht="22.5" customHeight="1">
      <c r="A518" s="244"/>
    </row>
    <row r="519" spans="1:1" ht="22.5" customHeight="1">
      <c r="A519" s="244"/>
    </row>
    <row r="520" spans="1:1" ht="22.5" customHeight="1">
      <c r="A520" s="244"/>
    </row>
    <row r="521" spans="1:1" ht="22.5" customHeight="1">
      <c r="A521" s="244"/>
    </row>
    <row r="522" spans="1:1" ht="22.5" customHeight="1">
      <c r="A522" s="244"/>
    </row>
    <row r="523" spans="1:1" ht="22.5" customHeight="1">
      <c r="A523" s="244"/>
    </row>
    <row r="524" spans="1:1" ht="22.5" customHeight="1">
      <c r="A524" s="244"/>
    </row>
    <row r="525" spans="1:1" ht="22.5" customHeight="1">
      <c r="A525" s="244"/>
    </row>
    <row r="526" spans="1:1" ht="22.5" customHeight="1">
      <c r="A526" s="244"/>
    </row>
    <row r="527" spans="1:1" ht="22.5" customHeight="1">
      <c r="A527" s="244"/>
    </row>
    <row r="528" spans="1:1" ht="22.5" customHeight="1">
      <c r="A528" s="244"/>
    </row>
    <row r="529" spans="1:1" ht="22.5" customHeight="1">
      <c r="A529" s="244"/>
    </row>
    <row r="530" spans="1:1" ht="22.5" customHeight="1">
      <c r="A530" s="244"/>
    </row>
    <row r="531" spans="1:1" ht="22.5" customHeight="1">
      <c r="A531" s="244"/>
    </row>
    <row r="532" spans="1:1" ht="22.5" customHeight="1">
      <c r="A532" s="244"/>
    </row>
    <row r="533" spans="1:1" ht="22.5" customHeight="1">
      <c r="A533" s="244"/>
    </row>
    <row r="534" spans="1:1" ht="22.5" customHeight="1">
      <c r="A534" s="244"/>
    </row>
    <row r="535" spans="1:1" ht="22.5" customHeight="1">
      <c r="A535" s="244"/>
    </row>
    <row r="536" spans="1:1" ht="22.5" customHeight="1">
      <c r="A536" s="244"/>
    </row>
    <row r="537" spans="1:1" ht="22.5" customHeight="1">
      <c r="A537" s="244"/>
    </row>
    <row r="538" spans="1:1" ht="22.5" customHeight="1">
      <c r="A538" s="244"/>
    </row>
    <row r="539" spans="1:1" ht="22.5" customHeight="1">
      <c r="A539" s="244"/>
    </row>
    <row r="540" spans="1:1" ht="22.5" customHeight="1">
      <c r="A540" s="244"/>
    </row>
    <row r="541" spans="1:1" ht="22.5" customHeight="1">
      <c r="A541" s="244"/>
    </row>
    <row r="542" spans="1:1" ht="22.5" customHeight="1">
      <c r="A542" s="244"/>
    </row>
    <row r="543" spans="1:1" ht="22.5" customHeight="1">
      <c r="A543" s="244"/>
    </row>
    <row r="544" spans="1:1" ht="22.5" customHeight="1">
      <c r="A544" s="244"/>
    </row>
    <row r="545" spans="1:1" ht="22.5" customHeight="1">
      <c r="A545" s="244"/>
    </row>
    <row r="546" spans="1:1" ht="22.5" customHeight="1">
      <c r="A546" s="244"/>
    </row>
    <row r="547" spans="1:1" ht="22.5" customHeight="1">
      <c r="A547" s="244"/>
    </row>
    <row r="548" spans="1:1" ht="22.5" customHeight="1">
      <c r="A548" s="244"/>
    </row>
    <row r="549" spans="1:1" ht="22.5" customHeight="1">
      <c r="A549" s="244"/>
    </row>
    <row r="550" spans="1:1" ht="22.5" customHeight="1">
      <c r="A550" s="244"/>
    </row>
    <row r="551" spans="1:1" ht="22.5" customHeight="1">
      <c r="A551" s="244"/>
    </row>
    <row r="552" spans="1:1" ht="22.5" customHeight="1">
      <c r="A552" s="244"/>
    </row>
    <row r="553" spans="1:1" ht="22.5" customHeight="1">
      <c r="A553" s="244"/>
    </row>
    <row r="554" spans="1:1" ht="22.5" customHeight="1">
      <c r="A554" s="244"/>
    </row>
    <row r="555" spans="1:1" ht="22.5" customHeight="1">
      <c r="A555" s="244"/>
    </row>
    <row r="556" spans="1:1" ht="22.5" customHeight="1">
      <c r="A556" s="244"/>
    </row>
    <row r="557" spans="1:1" ht="22.5" customHeight="1">
      <c r="A557" s="244"/>
    </row>
    <row r="558" spans="1:1" ht="22.5" customHeight="1">
      <c r="A558" s="244"/>
    </row>
    <row r="559" spans="1:1" ht="22.5" customHeight="1">
      <c r="A559" s="244"/>
    </row>
    <row r="560" spans="1:1" ht="22.5" customHeight="1">
      <c r="A560" s="244"/>
    </row>
    <row r="561" spans="1:1" ht="22.5" customHeight="1">
      <c r="A561" s="244"/>
    </row>
    <row r="562" spans="1:1" ht="22.5" customHeight="1">
      <c r="A562" s="244"/>
    </row>
    <row r="563" spans="1:1" ht="22.5" customHeight="1">
      <c r="A563" s="244"/>
    </row>
    <row r="564" spans="1:1" ht="22.5" customHeight="1">
      <c r="A564" s="244"/>
    </row>
    <row r="565" spans="1:1" ht="22.5" customHeight="1">
      <c r="A565" s="244"/>
    </row>
    <row r="566" spans="1:1" ht="22.5" customHeight="1">
      <c r="A566" s="244"/>
    </row>
    <row r="567" spans="1:1" ht="22.5" customHeight="1">
      <c r="A567" s="244"/>
    </row>
    <row r="568" spans="1:1" ht="22.5" customHeight="1">
      <c r="A568" s="244"/>
    </row>
    <row r="569" spans="1:1" ht="22.5" customHeight="1">
      <c r="A569" s="244"/>
    </row>
    <row r="570" spans="1:1" ht="22.5" customHeight="1">
      <c r="A570" s="244"/>
    </row>
    <row r="571" spans="1:1" ht="22.5" customHeight="1">
      <c r="A571" s="244"/>
    </row>
    <row r="572" spans="1:1" ht="22.5" customHeight="1">
      <c r="A572" s="244"/>
    </row>
    <row r="573" spans="1:1" ht="22.5" customHeight="1">
      <c r="A573" s="244"/>
    </row>
    <row r="574" spans="1:1" ht="22.5" customHeight="1">
      <c r="A574" s="244"/>
    </row>
    <row r="575" spans="1:1" ht="22.5" customHeight="1">
      <c r="A575" s="244"/>
    </row>
    <row r="576" spans="1:1" ht="22.5" customHeight="1">
      <c r="A576" s="244"/>
    </row>
    <row r="577" spans="1:1" ht="22.5" customHeight="1">
      <c r="A577" s="244"/>
    </row>
    <row r="578" spans="1:1" ht="22.5" customHeight="1">
      <c r="A578" s="244"/>
    </row>
    <row r="579" spans="1:1" ht="22.5" customHeight="1">
      <c r="A579" s="244"/>
    </row>
    <row r="580" spans="1:1" ht="22.5" customHeight="1">
      <c r="A580" s="244"/>
    </row>
    <row r="581" spans="1:1" ht="22.5" customHeight="1">
      <c r="A581" s="244"/>
    </row>
    <row r="582" spans="1:1" ht="22.5" customHeight="1">
      <c r="A582" s="244"/>
    </row>
    <row r="583" spans="1:1" ht="22.5" customHeight="1">
      <c r="A583" s="244"/>
    </row>
    <row r="584" spans="1:1" ht="22.5" customHeight="1">
      <c r="A584" s="244"/>
    </row>
    <row r="585" spans="1:1" ht="22.5" customHeight="1">
      <c r="A585" s="244"/>
    </row>
    <row r="586" spans="1:1" ht="22.5" customHeight="1">
      <c r="A586" s="244"/>
    </row>
    <row r="587" spans="1:1" ht="22.5" customHeight="1">
      <c r="A587" s="244"/>
    </row>
    <row r="588" spans="1:1" ht="22.5" customHeight="1">
      <c r="A588" s="244"/>
    </row>
    <row r="589" spans="1:1" ht="22.5" customHeight="1">
      <c r="A589" s="244"/>
    </row>
    <row r="590" spans="1:1" ht="22.5" customHeight="1">
      <c r="A590" s="244"/>
    </row>
    <row r="591" spans="1:1" ht="22.5" customHeight="1">
      <c r="A591" s="244"/>
    </row>
    <row r="592" spans="1:1" ht="22.5" customHeight="1">
      <c r="A592" s="244"/>
    </row>
    <row r="593" spans="1:1" ht="22.5" customHeight="1">
      <c r="A593" s="244"/>
    </row>
    <row r="594" spans="1:1" ht="22.5" customHeight="1">
      <c r="A594" s="244"/>
    </row>
    <row r="595" spans="1:1" ht="22.5" customHeight="1">
      <c r="A595" s="244"/>
    </row>
    <row r="596" spans="1:1" ht="22.5" customHeight="1">
      <c r="A596" s="244"/>
    </row>
    <row r="597" spans="1:1" ht="22.5" customHeight="1">
      <c r="A597" s="244"/>
    </row>
    <row r="598" spans="1:1" ht="22.5" customHeight="1">
      <c r="A598" s="244"/>
    </row>
    <row r="599" spans="1:1" ht="22.5" customHeight="1">
      <c r="A599" s="244"/>
    </row>
    <row r="600" spans="1:1" ht="22.5" customHeight="1">
      <c r="A600" s="244"/>
    </row>
    <row r="601" spans="1:1" ht="22.5" customHeight="1">
      <c r="A601" s="244"/>
    </row>
    <row r="602" spans="1:1" ht="22.5" customHeight="1">
      <c r="A602" s="244"/>
    </row>
    <row r="603" spans="1:1" ht="22.5" customHeight="1">
      <c r="A603" s="244"/>
    </row>
    <row r="604" spans="1:1" ht="22.5" customHeight="1">
      <c r="A604" s="244"/>
    </row>
    <row r="605" spans="1:1" ht="22.5" customHeight="1">
      <c r="A605" s="244"/>
    </row>
    <row r="606" spans="1:1" ht="22.5" customHeight="1">
      <c r="A606" s="244"/>
    </row>
    <row r="607" spans="1:1" ht="22.5" customHeight="1">
      <c r="A607" s="244"/>
    </row>
    <row r="608" spans="1:1" ht="22.5" customHeight="1">
      <c r="A608" s="244"/>
    </row>
    <row r="609" spans="1:1" ht="22.5" customHeight="1">
      <c r="A609" s="244"/>
    </row>
    <row r="610" spans="1:1" ht="22.5" customHeight="1">
      <c r="A610" s="244"/>
    </row>
    <row r="611" spans="1:1" ht="22.5" customHeight="1">
      <c r="A611" s="244"/>
    </row>
    <row r="612" spans="1:1" ht="22.5" customHeight="1">
      <c r="A612" s="244"/>
    </row>
    <row r="613" spans="1:1" ht="22.5" customHeight="1">
      <c r="A613" s="244"/>
    </row>
    <row r="614" spans="1:1" ht="22.5" customHeight="1">
      <c r="A614" s="244"/>
    </row>
    <row r="615" spans="1:1" ht="22.5" customHeight="1">
      <c r="A615" s="244"/>
    </row>
    <row r="616" spans="1:1" ht="22.5" customHeight="1">
      <c r="A616" s="244"/>
    </row>
    <row r="617" spans="1:1" ht="22.5" customHeight="1">
      <c r="A617" s="244"/>
    </row>
    <row r="618" spans="1:1" ht="22.5" customHeight="1">
      <c r="A618" s="244"/>
    </row>
    <row r="619" spans="1:1" ht="22.5" customHeight="1">
      <c r="A619" s="244"/>
    </row>
    <row r="620" spans="1:1" ht="22.5" customHeight="1">
      <c r="A620" s="244"/>
    </row>
    <row r="621" spans="1:1" ht="22.5" customHeight="1">
      <c r="A621" s="244"/>
    </row>
    <row r="622" spans="1:1" ht="22.5" customHeight="1">
      <c r="A622" s="244"/>
    </row>
    <row r="623" spans="1:1" ht="22.5" customHeight="1">
      <c r="A623" s="244"/>
    </row>
    <row r="624" spans="1:1" ht="22.5" customHeight="1">
      <c r="A624" s="244"/>
    </row>
    <row r="625" spans="1:1" ht="22.5" customHeight="1">
      <c r="A625" s="244"/>
    </row>
    <row r="626" spans="1:1" ht="22.5" customHeight="1">
      <c r="A626" s="244"/>
    </row>
    <row r="627" spans="1:1" ht="22.5" customHeight="1">
      <c r="A627" s="244"/>
    </row>
    <row r="628" spans="1:1" ht="22.5" customHeight="1">
      <c r="A628" s="244"/>
    </row>
    <row r="629" spans="1:1" ht="22.5" customHeight="1">
      <c r="A629" s="244"/>
    </row>
    <row r="630" spans="1:1" ht="22.5" customHeight="1">
      <c r="A630" s="244"/>
    </row>
    <row r="631" spans="1:1" ht="22.5" customHeight="1">
      <c r="A631" s="244"/>
    </row>
    <row r="632" spans="1:1" ht="22.5" customHeight="1">
      <c r="A632" s="244"/>
    </row>
    <row r="633" spans="1:1" ht="22.5" customHeight="1">
      <c r="A633" s="244"/>
    </row>
    <row r="634" spans="1:1" ht="22.5" customHeight="1">
      <c r="A634" s="244"/>
    </row>
    <row r="635" spans="1:1" ht="22.5" customHeight="1">
      <c r="A635" s="244"/>
    </row>
    <row r="636" spans="1:1" ht="22.5" customHeight="1">
      <c r="A636" s="244"/>
    </row>
    <row r="637" spans="1:1" ht="22.5" customHeight="1">
      <c r="A637" s="244"/>
    </row>
    <row r="638" spans="1:1" ht="22.5" customHeight="1">
      <c r="A638" s="244"/>
    </row>
    <row r="639" spans="1:1" ht="22.5" customHeight="1">
      <c r="A639" s="244"/>
    </row>
    <row r="640" spans="1:1" ht="22.5" customHeight="1">
      <c r="A640" s="244"/>
    </row>
    <row r="641" spans="1:1" ht="22.5" customHeight="1">
      <c r="A641" s="244"/>
    </row>
    <row r="642" spans="1:1" ht="22.5" customHeight="1">
      <c r="A642" s="244"/>
    </row>
    <row r="643" spans="1:1" ht="22.5" customHeight="1">
      <c r="A643" s="244"/>
    </row>
    <row r="644" spans="1:1" ht="22.5" customHeight="1">
      <c r="A644" s="244"/>
    </row>
    <row r="645" spans="1:1" ht="22.5" customHeight="1">
      <c r="A645" s="244"/>
    </row>
    <row r="646" spans="1:1" ht="22.5" customHeight="1">
      <c r="A646" s="244"/>
    </row>
    <row r="647" spans="1:1" ht="22.5" customHeight="1">
      <c r="A647" s="244"/>
    </row>
    <row r="648" spans="1:1" ht="22.5" customHeight="1">
      <c r="A648" s="244"/>
    </row>
    <row r="649" spans="1:1" ht="22.5" customHeight="1">
      <c r="A649" s="244"/>
    </row>
    <row r="650" spans="1:1" ht="22.5" customHeight="1">
      <c r="A650" s="244"/>
    </row>
    <row r="651" spans="1:1" ht="22.5" customHeight="1">
      <c r="A651" s="244"/>
    </row>
    <row r="652" spans="1:1" ht="22.5" customHeight="1">
      <c r="A652" s="244"/>
    </row>
    <row r="653" spans="1:1" ht="22.5" customHeight="1">
      <c r="A653" s="244"/>
    </row>
    <row r="654" spans="1:1" ht="22.5" customHeight="1">
      <c r="A654" s="244"/>
    </row>
    <row r="655" spans="1:1" ht="22.5" customHeight="1">
      <c r="A655" s="244"/>
    </row>
    <row r="656" spans="1:1" ht="22.5" customHeight="1">
      <c r="A656" s="244"/>
    </row>
    <row r="657" spans="1:1" ht="22.5" customHeight="1">
      <c r="A657" s="244"/>
    </row>
    <row r="658" spans="1:1" ht="22.5" customHeight="1">
      <c r="A658" s="244"/>
    </row>
    <row r="659" spans="1:1" ht="22.5" customHeight="1">
      <c r="A659" s="244"/>
    </row>
    <row r="660" spans="1:1" ht="22.5" customHeight="1">
      <c r="A660" s="244"/>
    </row>
    <row r="661" spans="1:1" ht="22.5" customHeight="1">
      <c r="A661" s="244"/>
    </row>
    <row r="662" spans="1:1" ht="22.5" customHeight="1">
      <c r="A662" s="244"/>
    </row>
    <row r="663" spans="1:1" ht="22.5" customHeight="1">
      <c r="A663" s="244"/>
    </row>
    <row r="664" spans="1:1" ht="22.5" customHeight="1">
      <c r="A664" s="244"/>
    </row>
    <row r="665" spans="1:1" ht="22.5" customHeight="1">
      <c r="A665" s="244"/>
    </row>
    <row r="666" spans="1:1" ht="22.5" customHeight="1">
      <c r="A666" s="244"/>
    </row>
    <row r="667" spans="1:1" ht="22.5" customHeight="1">
      <c r="A667" s="244"/>
    </row>
    <row r="668" spans="1:1" ht="22.5" customHeight="1">
      <c r="A668" s="244"/>
    </row>
    <row r="669" spans="1:1" ht="22.5" customHeight="1">
      <c r="A669" s="244"/>
    </row>
    <row r="670" spans="1:1" ht="22.5" customHeight="1">
      <c r="A670" s="244"/>
    </row>
    <row r="671" spans="1:1" ht="22.5" customHeight="1">
      <c r="A671" s="244"/>
    </row>
    <row r="672" spans="1:1" ht="22.5" customHeight="1">
      <c r="A672" s="244"/>
    </row>
    <row r="673" spans="1:1" ht="22.5" customHeight="1">
      <c r="A673" s="244"/>
    </row>
    <row r="674" spans="1:1" ht="22.5" customHeight="1">
      <c r="A674" s="244"/>
    </row>
    <row r="675" spans="1:1" ht="22.5" customHeight="1">
      <c r="A675" s="244"/>
    </row>
    <row r="676" spans="1:1" ht="22.5" customHeight="1">
      <c r="A676" s="244"/>
    </row>
    <row r="677" spans="1:1" ht="22.5" customHeight="1">
      <c r="A677" s="244"/>
    </row>
    <row r="678" spans="1:1" ht="22.5" customHeight="1">
      <c r="A678" s="244"/>
    </row>
    <row r="679" spans="1:1" ht="22.5" customHeight="1">
      <c r="A679" s="244"/>
    </row>
    <row r="680" spans="1:1" ht="22.5" customHeight="1">
      <c r="A680" s="244"/>
    </row>
    <row r="681" spans="1:1" ht="22.5" customHeight="1">
      <c r="A681" s="244"/>
    </row>
    <row r="682" spans="1:1" ht="22.5" customHeight="1">
      <c r="A682" s="244"/>
    </row>
    <row r="683" spans="1:1" ht="22.5" customHeight="1">
      <c r="A683" s="244"/>
    </row>
    <row r="684" spans="1:1" ht="22.5" customHeight="1">
      <c r="A684" s="244"/>
    </row>
    <row r="685" spans="1:1" ht="22.5" customHeight="1">
      <c r="A685" s="244"/>
    </row>
    <row r="686" spans="1:1" ht="22.5" customHeight="1">
      <c r="A686" s="244"/>
    </row>
    <row r="687" spans="1:1" ht="22.5" customHeight="1">
      <c r="A687" s="244"/>
    </row>
    <row r="688" spans="1:1" ht="22.5" customHeight="1">
      <c r="A688" s="244"/>
    </row>
    <row r="689" spans="1:1" ht="22.5" customHeight="1">
      <c r="A689" s="244"/>
    </row>
    <row r="690" spans="1:1" ht="22.5" customHeight="1">
      <c r="A690" s="244"/>
    </row>
    <row r="691" spans="1:1" ht="22.5" customHeight="1">
      <c r="A691" s="244"/>
    </row>
    <row r="692" spans="1:1" ht="22.5" customHeight="1">
      <c r="A692" s="244"/>
    </row>
    <row r="693" spans="1:1" ht="22.5" customHeight="1">
      <c r="A693" s="244"/>
    </row>
    <row r="694" spans="1:1" ht="22.5" customHeight="1">
      <c r="A694" s="244"/>
    </row>
    <row r="695" spans="1:1" ht="22.5" customHeight="1">
      <c r="A695" s="244"/>
    </row>
    <row r="696" spans="1:1" ht="22.5" customHeight="1">
      <c r="A696" s="244"/>
    </row>
    <row r="697" spans="1:1" ht="22.5" customHeight="1">
      <c r="A697" s="244"/>
    </row>
    <row r="698" spans="1:1" ht="22.5" customHeight="1">
      <c r="A698" s="244"/>
    </row>
    <row r="699" spans="1:1" ht="22.5" customHeight="1">
      <c r="A699" s="244"/>
    </row>
    <row r="700" spans="1:1" ht="22.5" customHeight="1">
      <c r="A700" s="244"/>
    </row>
    <row r="701" spans="1:1" ht="22.5" customHeight="1">
      <c r="A701" s="244"/>
    </row>
    <row r="702" spans="1:1" ht="22.5" customHeight="1">
      <c r="A702" s="244"/>
    </row>
    <row r="703" spans="1:1" ht="22.5" customHeight="1">
      <c r="A703" s="244"/>
    </row>
    <row r="704" spans="1:1" ht="22.5" customHeight="1">
      <c r="A704" s="244"/>
    </row>
    <row r="705" spans="1:1" ht="22.5" customHeight="1">
      <c r="A705" s="244"/>
    </row>
    <row r="706" spans="1:1" ht="22.5" customHeight="1">
      <c r="A706" s="244"/>
    </row>
    <row r="707" spans="1:1" ht="22.5" customHeight="1">
      <c r="A707" s="244"/>
    </row>
    <row r="708" spans="1:1" ht="22.5" customHeight="1">
      <c r="A708" s="244"/>
    </row>
    <row r="709" spans="1:1" ht="22.5" customHeight="1">
      <c r="A709" s="244"/>
    </row>
    <row r="710" spans="1:1" ht="22.5" customHeight="1">
      <c r="A710" s="244"/>
    </row>
    <row r="711" spans="1:1" ht="22.5" customHeight="1">
      <c r="A711" s="244"/>
    </row>
    <row r="712" spans="1:1" ht="22.5" customHeight="1">
      <c r="A712" s="244"/>
    </row>
    <row r="713" spans="1:1" ht="22.5" customHeight="1">
      <c r="A713" s="244"/>
    </row>
    <row r="714" spans="1:1" ht="22.5" customHeight="1">
      <c r="A714" s="244"/>
    </row>
    <row r="715" spans="1:1" ht="22.5" customHeight="1">
      <c r="A715" s="244"/>
    </row>
    <row r="716" spans="1:1" ht="22.5" customHeight="1">
      <c r="A716" s="244"/>
    </row>
    <row r="717" spans="1:1" ht="22.5" customHeight="1">
      <c r="A717" s="244"/>
    </row>
    <row r="718" spans="1:1" ht="22.5" customHeight="1">
      <c r="A718" s="244"/>
    </row>
    <row r="719" spans="1:1" ht="22.5" customHeight="1">
      <c r="A719" s="244"/>
    </row>
    <row r="720" spans="1:1" ht="22.5" customHeight="1">
      <c r="A720" s="244"/>
    </row>
    <row r="721" spans="1:1" ht="22.5" customHeight="1">
      <c r="A721" s="244"/>
    </row>
    <row r="722" spans="1:1" ht="22.5" customHeight="1">
      <c r="A722" s="244"/>
    </row>
    <row r="723" spans="1:1" ht="22.5" customHeight="1">
      <c r="A723" s="244"/>
    </row>
    <row r="724" spans="1:1" ht="22.5" customHeight="1">
      <c r="A724" s="244"/>
    </row>
    <row r="725" spans="1:1" ht="22.5" customHeight="1">
      <c r="A725" s="244"/>
    </row>
    <row r="726" spans="1:1" ht="22.5" customHeight="1">
      <c r="A726" s="244"/>
    </row>
    <row r="727" spans="1:1" ht="22.5" customHeight="1">
      <c r="A727" s="244"/>
    </row>
    <row r="728" spans="1:1" ht="22.5" customHeight="1">
      <c r="A728" s="244"/>
    </row>
    <row r="729" spans="1:1" ht="22.5" customHeight="1">
      <c r="A729" s="244"/>
    </row>
    <row r="730" spans="1:1" ht="22.5" customHeight="1">
      <c r="A730" s="244"/>
    </row>
    <row r="731" spans="1:1" ht="22.5" customHeight="1">
      <c r="A731" s="244"/>
    </row>
    <row r="732" spans="1:1" ht="22.5" customHeight="1">
      <c r="A732" s="244"/>
    </row>
    <row r="733" spans="1:1" ht="22.5" customHeight="1">
      <c r="A733" s="244"/>
    </row>
    <row r="734" spans="1:1" ht="22.5" customHeight="1">
      <c r="A734" s="244"/>
    </row>
    <row r="735" spans="1:1" ht="22.5" customHeight="1">
      <c r="A735" s="244"/>
    </row>
    <row r="736" spans="1:1" ht="22.5" customHeight="1">
      <c r="A736" s="244"/>
    </row>
    <row r="737" spans="1:1" ht="22.5" customHeight="1">
      <c r="A737" s="244"/>
    </row>
    <row r="738" spans="1:1" ht="22.5" customHeight="1">
      <c r="A738" s="244"/>
    </row>
    <row r="739" spans="1:1" ht="22.5" customHeight="1">
      <c r="A739" s="244"/>
    </row>
    <row r="740" spans="1:1" ht="22.5" customHeight="1">
      <c r="A740" s="244"/>
    </row>
    <row r="741" spans="1:1" ht="22.5" customHeight="1">
      <c r="A741" s="244"/>
    </row>
    <row r="742" spans="1:1" ht="22.5" customHeight="1">
      <c r="A742" s="244"/>
    </row>
    <row r="743" spans="1:1" ht="22.5" customHeight="1">
      <c r="A743" s="244"/>
    </row>
    <row r="744" spans="1:1" ht="22.5" customHeight="1">
      <c r="A744" s="244"/>
    </row>
    <row r="745" spans="1:1" ht="22.5" customHeight="1">
      <c r="A745" s="244"/>
    </row>
    <row r="746" spans="1:1" ht="22.5" customHeight="1">
      <c r="A746" s="244"/>
    </row>
    <row r="747" spans="1:1" ht="22.5" customHeight="1">
      <c r="A747" s="244"/>
    </row>
    <row r="748" spans="1:1" ht="22.5" customHeight="1">
      <c r="A748" s="244"/>
    </row>
    <row r="749" spans="1:1" ht="22.5" customHeight="1">
      <c r="A749" s="244"/>
    </row>
    <row r="750" spans="1:1" ht="22.5" customHeight="1">
      <c r="A750" s="244"/>
    </row>
    <row r="751" spans="1:1" ht="22.5" customHeight="1">
      <c r="A751" s="244"/>
    </row>
    <row r="752" spans="1:1" ht="22.5" customHeight="1">
      <c r="A752" s="244"/>
    </row>
    <row r="753" spans="1:1" ht="22.5" customHeight="1">
      <c r="A753" s="244"/>
    </row>
    <row r="754" spans="1:1" ht="22.5" customHeight="1">
      <c r="A754" s="244"/>
    </row>
    <row r="755" spans="1:1" ht="22.5" customHeight="1">
      <c r="A755" s="244"/>
    </row>
    <row r="756" spans="1:1" ht="22.5" customHeight="1">
      <c r="A756" s="244"/>
    </row>
    <row r="757" spans="1:1" ht="22.5" customHeight="1">
      <c r="A757" s="244"/>
    </row>
    <row r="758" spans="1:1" ht="22.5" customHeight="1">
      <c r="A758" s="244"/>
    </row>
    <row r="759" spans="1:1" ht="22.5" customHeight="1">
      <c r="A759" s="244"/>
    </row>
    <row r="760" spans="1:1" ht="22.5" customHeight="1">
      <c r="A760" s="244"/>
    </row>
    <row r="761" spans="1:1" ht="22.5" customHeight="1">
      <c r="A761" s="244"/>
    </row>
    <row r="762" spans="1:1" ht="22.5" customHeight="1">
      <c r="A762" s="244"/>
    </row>
    <row r="763" spans="1:1" ht="22.5" customHeight="1">
      <c r="A763" s="244"/>
    </row>
    <row r="764" spans="1:1" ht="22.5" customHeight="1">
      <c r="A764" s="244"/>
    </row>
    <row r="765" spans="1:1" ht="22.5" customHeight="1">
      <c r="A765" s="244"/>
    </row>
    <row r="766" spans="1:1" ht="22.5" customHeight="1">
      <c r="A766" s="244"/>
    </row>
    <row r="767" spans="1:1" ht="22.5" customHeight="1">
      <c r="A767" s="244"/>
    </row>
    <row r="768" spans="1:1" ht="22.5" customHeight="1">
      <c r="A768" s="244"/>
    </row>
    <row r="769" spans="1:1" ht="22.5" customHeight="1">
      <c r="A769" s="244"/>
    </row>
    <row r="770" spans="1:1" ht="22.5" customHeight="1">
      <c r="A770" s="244"/>
    </row>
    <row r="771" spans="1:1" ht="22.5" customHeight="1">
      <c r="A771" s="244"/>
    </row>
    <row r="772" spans="1:1" ht="22.5" customHeight="1">
      <c r="A772" s="244"/>
    </row>
    <row r="773" spans="1:1" ht="22.5" customHeight="1">
      <c r="A773" s="244"/>
    </row>
    <row r="774" spans="1:1" ht="22.5" customHeight="1">
      <c r="A774" s="244"/>
    </row>
    <row r="775" spans="1:1" ht="22.5" customHeight="1">
      <c r="A775" s="244"/>
    </row>
    <row r="776" spans="1:1" ht="22.5" customHeight="1">
      <c r="A776" s="244"/>
    </row>
    <row r="777" spans="1:1" ht="22.5" customHeight="1">
      <c r="A777" s="244"/>
    </row>
    <row r="778" spans="1:1" ht="22.5" customHeight="1">
      <c r="A778" s="244"/>
    </row>
    <row r="779" spans="1:1" ht="22.5" customHeight="1">
      <c r="A779" s="244"/>
    </row>
    <row r="780" spans="1:1" ht="22.5" customHeight="1">
      <c r="A780" s="244"/>
    </row>
    <row r="781" spans="1:1" ht="22.5" customHeight="1">
      <c r="A781" s="244"/>
    </row>
    <row r="782" spans="1:1" ht="22.5" customHeight="1">
      <c r="A782" s="244"/>
    </row>
    <row r="783" spans="1:1" ht="22.5" customHeight="1">
      <c r="A783" s="244"/>
    </row>
    <row r="784" spans="1:1" ht="22.5" customHeight="1">
      <c r="A784" s="244"/>
    </row>
    <row r="785" spans="1:1" ht="22.5" customHeight="1">
      <c r="A785" s="244"/>
    </row>
    <row r="786" spans="1:1" ht="22.5" customHeight="1">
      <c r="A786" s="244"/>
    </row>
    <row r="787" spans="1:1" ht="22.5" customHeight="1">
      <c r="A787" s="244"/>
    </row>
    <row r="788" spans="1:1" ht="22.5" customHeight="1">
      <c r="A788" s="244"/>
    </row>
    <row r="789" spans="1:1" ht="22.5" customHeight="1">
      <c r="A789" s="244"/>
    </row>
    <row r="790" spans="1:1" ht="22.5" customHeight="1">
      <c r="A790" s="244"/>
    </row>
    <row r="791" spans="1:1" ht="22.5" customHeight="1">
      <c r="A791" s="244"/>
    </row>
    <row r="792" spans="1:1" ht="22.5" customHeight="1">
      <c r="A792" s="244"/>
    </row>
    <row r="793" spans="1:1" ht="22.5" customHeight="1">
      <c r="A793" s="244"/>
    </row>
    <row r="794" spans="1:1" ht="22.5" customHeight="1">
      <c r="A794" s="244"/>
    </row>
    <row r="795" spans="1:1" ht="22.5" customHeight="1">
      <c r="A795" s="244"/>
    </row>
    <row r="796" spans="1:1" ht="22.5" customHeight="1">
      <c r="A796" s="244"/>
    </row>
    <row r="797" spans="1:1" ht="22.5" customHeight="1">
      <c r="A797" s="244"/>
    </row>
    <row r="798" spans="1:1" ht="12.75">
      <c r="A798" s="244"/>
    </row>
    <row r="799" spans="1:1" ht="12.75">
      <c r="A799" s="244"/>
    </row>
    <row r="800" spans="1:1" ht="12.75">
      <c r="A800" s="244"/>
    </row>
    <row r="801" spans="1:1" ht="12.75">
      <c r="A801" s="244"/>
    </row>
    <row r="802" spans="1:1" ht="12.75">
      <c r="A802" s="244"/>
    </row>
    <row r="803" spans="1:1" ht="12.75">
      <c r="A803" s="244"/>
    </row>
    <row r="804" spans="1:1" ht="12.75">
      <c r="A804" s="244"/>
    </row>
    <row r="805" spans="1:1" ht="12.75">
      <c r="A805" s="244"/>
    </row>
    <row r="806" spans="1:1" ht="12.75">
      <c r="A806" s="244"/>
    </row>
    <row r="807" spans="1:1" ht="12.75">
      <c r="A807" s="244"/>
    </row>
    <row r="808" spans="1:1" ht="12.75">
      <c r="A808" s="244"/>
    </row>
    <row r="809" spans="1:1" ht="12.75">
      <c r="A809" s="244"/>
    </row>
    <row r="810" spans="1:1" ht="12.75">
      <c r="A810" s="244"/>
    </row>
    <row r="811" spans="1:1" ht="12.75">
      <c r="A811" s="244"/>
    </row>
    <row r="812" spans="1:1" ht="12.75">
      <c r="A812" s="244"/>
    </row>
    <row r="813" spans="1:1" ht="12.75">
      <c r="A813" s="244"/>
    </row>
    <row r="814" spans="1:1" ht="12.75">
      <c r="A814" s="244"/>
    </row>
    <row r="815" spans="1:1" ht="12.75">
      <c r="A815" s="244"/>
    </row>
    <row r="816" spans="1:1" ht="12.75">
      <c r="A816" s="244"/>
    </row>
    <row r="817" spans="1:1" ht="12.75">
      <c r="A817" s="244"/>
    </row>
    <row r="818" spans="1:1" ht="12.75">
      <c r="A818" s="244"/>
    </row>
    <row r="819" spans="1:1" ht="12.75">
      <c r="A819" s="244"/>
    </row>
    <row r="820" spans="1:1" ht="12.75">
      <c r="A820" s="244"/>
    </row>
    <row r="821" spans="1:1" ht="12.75">
      <c r="A821" s="244"/>
    </row>
    <row r="822" spans="1:1" ht="12.75">
      <c r="A822" s="244"/>
    </row>
    <row r="823" spans="1:1" ht="12.75">
      <c r="A823" s="244"/>
    </row>
    <row r="824" spans="1:1" ht="12.75">
      <c r="A824" s="244"/>
    </row>
    <row r="825" spans="1:1" ht="12.75">
      <c r="A825" s="244"/>
    </row>
    <row r="826" spans="1:1" ht="12.75">
      <c r="A826" s="244"/>
    </row>
    <row r="827" spans="1:1" ht="12.75">
      <c r="A827" s="244"/>
    </row>
    <row r="828" spans="1:1" ht="12.75">
      <c r="A828" s="244"/>
    </row>
    <row r="829" spans="1:1" ht="12.75">
      <c r="A829" s="244"/>
    </row>
    <row r="830" spans="1:1" ht="12.75">
      <c r="A830" s="244"/>
    </row>
    <row r="831" spans="1:1" ht="12.75">
      <c r="A831" s="244"/>
    </row>
    <row r="832" spans="1:1" ht="12.75">
      <c r="A832" s="244"/>
    </row>
    <row r="833" spans="1:1" ht="12.75">
      <c r="A833" s="244"/>
    </row>
    <row r="834" spans="1:1" ht="12.75">
      <c r="A834" s="244"/>
    </row>
    <row r="835" spans="1:1" ht="12.75">
      <c r="A835" s="244"/>
    </row>
    <row r="836" spans="1:1" ht="12.75">
      <c r="A836" s="244"/>
    </row>
    <row r="837" spans="1:1" ht="12.75">
      <c r="A837" s="244"/>
    </row>
    <row r="838" spans="1:1" ht="12.75">
      <c r="A838" s="244"/>
    </row>
    <row r="839" spans="1:1" ht="12.75">
      <c r="A839" s="244"/>
    </row>
    <row r="840" spans="1:1" ht="12.75">
      <c r="A840" s="244"/>
    </row>
    <row r="841" spans="1:1" ht="12.75">
      <c r="A841" s="244"/>
    </row>
    <row r="842" spans="1:1" ht="12.75">
      <c r="A842" s="244"/>
    </row>
    <row r="843" spans="1:1" ht="12.75">
      <c r="A843" s="244"/>
    </row>
    <row r="844" spans="1:1" ht="12.75">
      <c r="A844" s="244"/>
    </row>
    <row r="845" spans="1:1" ht="12.75">
      <c r="A845" s="244"/>
    </row>
    <row r="846" spans="1:1" ht="12.75">
      <c r="A846" s="244"/>
    </row>
    <row r="847" spans="1:1" ht="12.75">
      <c r="A847" s="244"/>
    </row>
    <row r="848" spans="1:1" ht="12.75">
      <c r="A848" s="244"/>
    </row>
    <row r="849" spans="1:1" ht="12.75">
      <c r="A849" s="244"/>
    </row>
    <row r="850" spans="1:1" ht="12.75">
      <c r="A850" s="244"/>
    </row>
    <row r="851" spans="1:1" ht="12.75">
      <c r="A851" s="244"/>
    </row>
    <row r="852" spans="1:1" ht="12.75">
      <c r="A852" s="244"/>
    </row>
    <row r="853" spans="1:1" ht="12.75">
      <c r="A853" s="244"/>
    </row>
    <row r="854" spans="1:1" ht="12.75">
      <c r="A854" s="244"/>
    </row>
    <row r="855" spans="1:1" ht="12.75">
      <c r="A855" s="244"/>
    </row>
    <row r="856" spans="1:1" ht="12.75">
      <c r="A856" s="244"/>
    </row>
    <row r="857" spans="1:1" ht="12.75">
      <c r="A857" s="244"/>
    </row>
    <row r="858" spans="1:1" ht="12.75">
      <c r="A858" s="244"/>
    </row>
    <row r="859" spans="1:1" ht="12.75">
      <c r="A859" s="244"/>
    </row>
    <row r="860" spans="1:1" ht="12.75">
      <c r="A860" s="244"/>
    </row>
    <row r="861" spans="1:1" ht="12.75">
      <c r="A861" s="244"/>
    </row>
    <row r="862" spans="1:1" ht="12.75">
      <c r="A862" s="244"/>
    </row>
    <row r="863" spans="1:1" ht="12.75">
      <c r="A863" s="244"/>
    </row>
    <row r="864" spans="1:1" ht="12.75">
      <c r="A864" s="244"/>
    </row>
    <row r="865" spans="1:1" ht="12.75">
      <c r="A865" s="244"/>
    </row>
    <row r="866" spans="1:1" ht="12.75">
      <c r="A866" s="244"/>
    </row>
    <row r="867" spans="1:1" ht="12.75">
      <c r="A867" s="244"/>
    </row>
    <row r="868" spans="1:1" ht="12.75">
      <c r="A868" s="244"/>
    </row>
    <row r="869" spans="1:1" ht="12.75">
      <c r="A869" s="244"/>
    </row>
    <row r="870" spans="1:1" ht="12.75">
      <c r="A870" s="244"/>
    </row>
    <row r="871" spans="1:1" ht="12.75">
      <c r="A871" s="244"/>
    </row>
    <row r="872" spans="1:1" ht="12.75">
      <c r="A872" s="244"/>
    </row>
    <row r="873" spans="1:1" ht="12.75">
      <c r="A873" s="244"/>
    </row>
    <row r="874" spans="1:1" ht="12.75">
      <c r="A874" s="244"/>
    </row>
    <row r="875" spans="1:1" ht="12.75">
      <c r="A875" s="244"/>
    </row>
    <row r="876" spans="1:1" ht="12.75">
      <c r="A876" s="244"/>
    </row>
    <row r="877" spans="1:1" ht="12.75">
      <c r="A877" s="244"/>
    </row>
    <row r="878" spans="1:1" ht="12.75">
      <c r="A878" s="244"/>
    </row>
    <row r="879" spans="1:1" ht="12.75">
      <c r="A879" s="244"/>
    </row>
    <row r="880" spans="1:1" ht="12.75">
      <c r="A880" s="244"/>
    </row>
    <row r="881" spans="1:1" ht="12.75">
      <c r="A881" s="244"/>
    </row>
    <row r="882" spans="1:1" ht="12.75">
      <c r="A882" s="244"/>
    </row>
    <row r="883" spans="1:1" ht="12.75">
      <c r="A883" s="244"/>
    </row>
    <row r="884" spans="1:1" ht="12.75">
      <c r="A884" s="244"/>
    </row>
    <row r="885" spans="1:1" ht="12.75">
      <c r="A885" s="244"/>
    </row>
    <row r="886" spans="1:1" ht="12.75">
      <c r="A886" s="244"/>
    </row>
    <row r="887" spans="1:1" ht="12.75">
      <c r="A887" s="244"/>
    </row>
    <row r="888" spans="1:1" ht="12.75">
      <c r="A888" s="244"/>
    </row>
    <row r="889" spans="1:1" ht="12.75">
      <c r="A889" s="244"/>
    </row>
    <row r="890" spans="1:1" ht="12.75">
      <c r="A890" s="244"/>
    </row>
    <row r="891" spans="1:1" ht="12.75">
      <c r="A891" s="244"/>
    </row>
    <row r="892" spans="1:1" ht="12.75">
      <c r="A892" s="244"/>
    </row>
    <row r="893" spans="1:1" ht="12.75">
      <c r="A893" s="244"/>
    </row>
    <row r="894" spans="1:1" ht="12.75">
      <c r="A894" s="244"/>
    </row>
    <row r="895" spans="1:1" ht="12.75">
      <c r="A895" s="244"/>
    </row>
    <row r="896" spans="1:1" ht="12.75">
      <c r="A896" s="244"/>
    </row>
    <row r="897" spans="1:1" ht="12.75">
      <c r="A897" s="244"/>
    </row>
    <row r="898" spans="1:1" ht="12.75">
      <c r="A898" s="244"/>
    </row>
    <row r="899" spans="1:1" ht="12.75">
      <c r="A899" s="244"/>
    </row>
    <row r="900" spans="1:1" ht="12.75">
      <c r="A900" s="244"/>
    </row>
    <row r="901" spans="1:1" ht="12.75">
      <c r="A901" s="244"/>
    </row>
    <row r="902" spans="1:1" ht="12.75">
      <c r="A902" s="244"/>
    </row>
    <row r="903" spans="1:1" ht="12.75">
      <c r="A903" s="244"/>
    </row>
    <row r="904" spans="1:1" ht="12.75">
      <c r="A904" s="244"/>
    </row>
    <row r="905" spans="1:1" ht="12.75">
      <c r="A905" s="244"/>
    </row>
    <row r="906" spans="1:1" ht="12.75">
      <c r="A906" s="244"/>
    </row>
    <row r="907" spans="1:1" ht="12.75">
      <c r="A907" s="244"/>
    </row>
    <row r="908" spans="1:1" ht="12.75">
      <c r="A908" s="244"/>
    </row>
    <row r="909" spans="1:1" ht="12.75">
      <c r="A909" s="244"/>
    </row>
    <row r="910" spans="1:1" ht="12.75">
      <c r="A910" s="244"/>
    </row>
    <row r="911" spans="1:1" ht="12.75">
      <c r="A911" s="244"/>
    </row>
    <row r="912" spans="1:1" ht="12.75">
      <c r="A912" s="244"/>
    </row>
    <row r="913" spans="1:1" ht="12.75">
      <c r="A913" s="244"/>
    </row>
    <row r="914" spans="1:1" ht="12.75">
      <c r="A914" s="244"/>
    </row>
    <row r="915" spans="1:1" ht="12.75">
      <c r="A915" s="244"/>
    </row>
    <row r="916" spans="1:1" ht="12.75">
      <c r="A916" s="244"/>
    </row>
    <row r="917" spans="1:1" ht="12.75">
      <c r="A917" s="244"/>
    </row>
    <row r="918" spans="1:1" ht="12.75">
      <c r="A918" s="244"/>
    </row>
    <row r="919" spans="1:1" ht="12.75">
      <c r="A919" s="244"/>
    </row>
    <row r="920" spans="1:1" ht="12.75">
      <c r="A920" s="244"/>
    </row>
    <row r="921" spans="1:1" ht="12.75">
      <c r="A921" s="244"/>
    </row>
    <row r="922" spans="1:1" ht="12.75">
      <c r="A922" s="244"/>
    </row>
    <row r="923" spans="1:1" ht="12.75">
      <c r="A923" s="244"/>
    </row>
    <row r="924" spans="1:1" ht="12.75">
      <c r="A924" s="244"/>
    </row>
    <row r="925" spans="1:1" ht="12.75">
      <c r="A925" s="244"/>
    </row>
    <row r="926" spans="1:1" ht="12.75">
      <c r="A926" s="244"/>
    </row>
    <row r="927" spans="1:1" ht="12.75">
      <c r="A927" s="244"/>
    </row>
    <row r="928" spans="1:1" ht="12.75">
      <c r="A928" s="244"/>
    </row>
    <row r="929" spans="1:1" ht="12.75">
      <c r="A929" s="244"/>
    </row>
    <row r="930" spans="1:1" ht="12.75">
      <c r="A930" s="244"/>
    </row>
    <row r="931" spans="1:1" ht="12.75">
      <c r="A931" s="244"/>
    </row>
    <row r="932" spans="1:1" ht="12.75">
      <c r="A932" s="244"/>
    </row>
    <row r="933" spans="1:1" ht="12.75">
      <c r="A933" s="244"/>
    </row>
    <row r="934" spans="1:1" ht="12.75">
      <c r="A934" s="244"/>
    </row>
    <row r="935" spans="1:1" ht="12.75">
      <c r="A935" s="244"/>
    </row>
    <row r="936" spans="1:1" ht="12.75">
      <c r="A936" s="244"/>
    </row>
    <row r="937" spans="1:1" ht="12.75">
      <c r="A937" s="244"/>
    </row>
    <row r="938" spans="1:1" ht="12.75">
      <c r="A938" s="244"/>
    </row>
    <row r="939" spans="1:1" ht="12.75">
      <c r="A939" s="244"/>
    </row>
    <row r="940" spans="1:1" ht="12.75">
      <c r="A940" s="244"/>
    </row>
    <row r="941" spans="1:1" ht="12.75">
      <c r="A941" s="244"/>
    </row>
    <row r="942" spans="1:1" ht="12.75">
      <c r="A942" s="244"/>
    </row>
    <row r="943" spans="1:1" ht="12.75">
      <c r="A943" s="244"/>
    </row>
    <row r="944" spans="1:1" ht="12.75">
      <c r="A944" s="244"/>
    </row>
    <row r="945" spans="1:1" ht="12.75">
      <c r="A945" s="244"/>
    </row>
    <row r="946" spans="1:1" ht="12.75">
      <c r="A946" s="244"/>
    </row>
    <row r="947" spans="1:1" ht="12.75">
      <c r="A947" s="244"/>
    </row>
    <row r="948" spans="1:1" ht="12.75">
      <c r="A948" s="244"/>
    </row>
    <row r="949" spans="1:1" ht="12.75">
      <c r="A949" s="244"/>
    </row>
    <row r="950" spans="1:1" ht="12.75">
      <c r="A950" s="244"/>
    </row>
    <row r="951" spans="1:1" ht="12.75">
      <c r="A951" s="244"/>
    </row>
    <row r="952" spans="1:1" ht="12.75">
      <c r="A952" s="244"/>
    </row>
    <row r="953" spans="1:1" ht="12.75">
      <c r="A953" s="244"/>
    </row>
    <row r="954" spans="1:1" ht="12.75">
      <c r="A954" s="244"/>
    </row>
    <row r="955" spans="1:1" ht="12.75">
      <c r="A955" s="244"/>
    </row>
    <row r="956" spans="1:1" ht="12.75">
      <c r="A956" s="244"/>
    </row>
    <row r="957" spans="1:1" ht="12.75">
      <c r="A957" s="244"/>
    </row>
    <row r="958" spans="1:1" ht="12.75">
      <c r="A958" s="244"/>
    </row>
    <row r="959" spans="1:1" ht="12.75">
      <c r="A959" s="244"/>
    </row>
    <row r="960" spans="1:1" ht="12.75">
      <c r="A960" s="244"/>
    </row>
    <row r="961" spans="1:1" ht="12.75">
      <c r="A961" s="244"/>
    </row>
    <row r="962" spans="1:1" ht="12.75">
      <c r="A962" s="244"/>
    </row>
    <row r="963" spans="1:1" ht="12.75">
      <c r="A963" s="244"/>
    </row>
    <row r="964" spans="1:1" ht="12.75">
      <c r="A964" s="244"/>
    </row>
    <row r="965" spans="1:1" ht="12.75">
      <c r="A965" s="244"/>
    </row>
    <row r="966" spans="1:1" ht="12.75">
      <c r="A966" s="244"/>
    </row>
    <row r="967" spans="1:1" ht="12.75">
      <c r="A967" s="244"/>
    </row>
    <row r="968" spans="1:1" ht="12.75">
      <c r="A968" s="244"/>
    </row>
    <row r="969" spans="1:1" ht="12.75">
      <c r="A969" s="244"/>
    </row>
    <row r="970" spans="1:1" ht="12.75">
      <c r="A970" s="244"/>
    </row>
    <row r="971" spans="1:1" ht="12.75">
      <c r="A971" s="244"/>
    </row>
    <row r="972" spans="1:1" ht="12.75">
      <c r="A972" s="244"/>
    </row>
    <row r="973" spans="1:1" ht="12.75">
      <c r="A973" s="244"/>
    </row>
    <row r="974" spans="1:1" ht="12.75">
      <c r="A974" s="244"/>
    </row>
    <row r="975" spans="1:1" ht="12.75">
      <c r="A975" s="244"/>
    </row>
    <row r="976" spans="1:1" ht="12.75">
      <c r="A976" s="244"/>
    </row>
    <row r="977" spans="1:1" ht="12.75">
      <c r="A977" s="244"/>
    </row>
    <row r="978" spans="1:1" ht="12.75">
      <c r="A978" s="244"/>
    </row>
    <row r="979" spans="1:1" ht="12.75">
      <c r="A979" s="244"/>
    </row>
    <row r="980" spans="1:1" ht="12.75">
      <c r="A980" s="244"/>
    </row>
    <row r="981" spans="1:1" ht="12.75">
      <c r="A981" s="244"/>
    </row>
    <row r="982" spans="1:1" ht="12.75">
      <c r="A982" s="244"/>
    </row>
    <row r="983" spans="1:1" ht="12.75">
      <c r="A983" s="244"/>
    </row>
    <row r="984" spans="1:1" ht="12.75">
      <c r="A984" s="244"/>
    </row>
    <row r="985" spans="1:1" ht="12.75">
      <c r="A985" s="244"/>
    </row>
    <row r="986" spans="1:1" ht="12.75">
      <c r="A986" s="244"/>
    </row>
    <row r="987" spans="1:1" ht="12.75">
      <c r="A987" s="244"/>
    </row>
    <row r="988" spans="1:1" ht="12.75">
      <c r="A988" s="244"/>
    </row>
    <row r="989" spans="1:1" ht="12.75">
      <c r="A989" s="244"/>
    </row>
    <row r="990" spans="1:1" ht="12.75">
      <c r="A990" s="244"/>
    </row>
    <row r="991" spans="1:1" ht="12.75">
      <c r="A991" s="244"/>
    </row>
    <row r="992" spans="1:1" ht="12.75">
      <c r="A992" s="244"/>
    </row>
    <row r="993" spans="1:1" ht="12.75">
      <c r="A993" s="244"/>
    </row>
    <row r="994" spans="1:1" ht="12.75">
      <c r="A994" s="244"/>
    </row>
    <row r="995" spans="1:1" ht="12.75">
      <c r="A995" s="244"/>
    </row>
    <row r="996" spans="1:1" ht="12.75">
      <c r="A996" s="244"/>
    </row>
    <row r="997" spans="1:1" ht="12.75">
      <c r="A997" s="244"/>
    </row>
    <row r="998" spans="1:1" ht="12.75">
      <c r="A998" s="244"/>
    </row>
    <row r="999" spans="1:1" ht="12.75">
      <c r="A999" s="244"/>
    </row>
    <row r="1000" spans="1:1" ht="12.75">
      <c r="A1000" s="244"/>
    </row>
    <row r="1001" spans="1:1" ht="12.75">
      <c r="A1001" s="244"/>
    </row>
    <row r="1002" spans="1:1" ht="12.75">
      <c r="A1002" s="244"/>
    </row>
    <row r="1003" spans="1:1" ht="12.75">
      <c r="A1003" s="244"/>
    </row>
    <row r="1004" spans="1:1" ht="12.75">
      <c r="A1004" s="244"/>
    </row>
    <row r="1005" spans="1:1" ht="12.75">
      <c r="A1005" s="244"/>
    </row>
    <row r="1006" spans="1:1" ht="12.75">
      <c r="A1006" s="244"/>
    </row>
    <row r="1007" spans="1:1" ht="12.75">
      <c r="A1007" s="244"/>
    </row>
    <row r="1008" spans="1:1" ht="12.75">
      <c r="A1008" s="244"/>
    </row>
    <row r="1009" spans="1:1" ht="12.75">
      <c r="A1009" s="244"/>
    </row>
    <row r="1010" spans="1:1" ht="12.75">
      <c r="A1010" s="244"/>
    </row>
    <row r="1011" spans="1:1" ht="12.75">
      <c r="A1011" s="244"/>
    </row>
    <row r="1012" spans="1:1" ht="12.75">
      <c r="A1012" s="244"/>
    </row>
    <row r="1013" spans="1:1" ht="12.75">
      <c r="A1013" s="244"/>
    </row>
    <row r="1014" spans="1:1" ht="12.75">
      <c r="A1014" s="244"/>
    </row>
    <row r="1015" spans="1:1" ht="12.75">
      <c r="A1015" s="244"/>
    </row>
    <row r="1016" spans="1:1" ht="12.75">
      <c r="A1016" s="244"/>
    </row>
    <row r="1017" spans="1:1" thickBot="1">
      <c r="A1017" s="244"/>
    </row>
  </sheetData>
  <sheetProtection formatRows="0"/>
  <protectedRanges>
    <protectedRange sqref="C214 D18:D19 C204 C196 C188 C180 C174 C166 C158 C150 C142 C132 C124 C116 C107 C99 C91 C86 C70 C17:C20 C13 C79 C29 C37 C45 C53 C61" name="Range1"/>
  </protectedRanges>
  <mergeCells count="484">
    <mergeCell ref="N201:N208"/>
    <mergeCell ref="O201:O208"/>
    <mergeCell ref="P201:P208"/>
    <mergeCell ref="M210:M218"/>
    <mergeCell ref="N210:N218"/>
    <mergeCell ref="O210:O218"/>
    <mergeCell ref="P210:P218"/>
    <mergeCell ref="M163:M170"/>
    <mergeCell ref="N163:N170"/>
    <mergeCell ref="O163:O170"/>
    <mergeCell ref="P163:P170"/>
    <mergeCell ref="M171:P175"/>
    <mergeCell ref="M176:M184"/>
    <mergeCell ref="N176:N184"/>
    <mergeCell ref="O176:O184"/>
    <mergeCell ref="P176:P184"/>
    <mergeCell ref="M138:M146"/>
    <mergeCell ref="N138:N146"/>
    <mergeCell ref="O138:O146"/>
    <mergeCell ref="P138:P146"/>
    <mergeCell ref="M147:M154"/>
    <mergeCell ref="N147:N154"/>
    <mergeCell ref="O147:O154"/>
    <mergeCell ref="P147:P154"/>
    <mergeCell ref="M155:M162"/>
    <mergeCell ref="N155:N162"/>
    <mergeCell ref="O155:O162"/>
    <mergeCell ref="P155:P162"/>
    <mergeCell ref="M113:M120"/>
    <mergeCell ref="N113:N120"/>
    <mergeCell ref="O113:O120"/>
    <mergeCell ref="P113:P120"/>
    <mergeCell ref="M121:M128"/>
    <mergeCell ref="N121:N128"/>
    <mergeCell ref="O121:O128"/>
    <mergeCell ref="P121:P128"/>
    <mergeCell ref="M129:M136"/>
    <mergeCell ref="N129:N136"/>
    <mergeCell ref="O129:O136"/>
    <mergeCell ref="P129:P136"/>
    <mergeCell ref="P88:P95"/>
    <mergeCell ref="M96:M103"/>
    <mergeCell ref="N96:N103"/>
    <mergeCell ref="O96:O103"/>
    <mergeCell ref="P96:P103"/>
    <mergeCell ref="M104:M111"/>
    <mergeCell ref="N104:N111"/>
    <mergeCell ref="O104:O111"/>
    <mergeCell ref="P104:P111"/>
    <mergeCell ref="M6:P6"/>
    <mergeCell ref="M7:P7"/>
    <mergeCell ref="M10:P14"/>
    <mergeCell ref="M16:M24"/>
    <mergeCell ref="N16:N24"/>
    <mergeCell ref="O16:O24"/>
    <mergeCell ref="P16:P24"/>
    <mergeCell ref="M25:M33"/>
    <mergeCell ref="N25:N33"/>
    <mergeCell ref="O25:O33"/>
    <mergeCell ref="P25:P33"/>
    <mergeCell ref="W219:W220"/>
    <mergeCell ref="W129:W136"/>
    <mergeCell ref="W138:W146"/>
    <mergeCell ref="W147:W154"/>
    <mergeCell ref="W155:W162"/>
    <mergeCell ref="W163:W170"/>
    <mergeCell ref="W171:W175"/>
    <mergeCell ref="W84:W87"/>
    <mergeCell ref="W88:W95"/>
    <mergeCell ref="W96:W103"/>
    <mergeCell ref="W104:W111"/>
    <mergeCell ref="W113:W120"/>
    <mergeCell ref="W121:W128"/>
    <mergeCell ref="V185:V192"/>
    <mergeCell ref="V193:V200"/>
    <mergeCell ref="V201:V208"/>
    <mergeCell ref="V84:V87"/>
    <mergeCell ref="W176:W184"/>
    <mergeCell ref="W185:W192"/>
    <mergeCell ref="W193:W200"/>
    <mergeCell ref="W201:W208"/>
    <mergeCell ref="V210:V218"/>
    <mergeCell ref="W210:W218"/>
    <mergeCell ref="V219:V220"/>
    <mergeCell ref="W6:W8"/>
    <mergeCell ref="W10:W14"/>
    <mergeCell ref="W16:W24"/>
    <mergeCell ref="W66:W74"/>
    <mergeCell ref="W76:W83"/>
    <mergeCell ref="V138:V146"/>
    <mergeCell ref="V147:V154"/>
    <mergeCell ref="V155:V162"/>
    <mergeCell ref="V163:V170"/>
    <mergeCell ref="V171:V175"/>
    <mergeCell ref="V176:V184"/>
    <mergeCell ref="V88:V95"/>
    <mergeCell ref="V96:V103"/>
    <mergeCell ref="V104:V111"/>
    <mergeCell ref="V113:V120"/>
    <mergeCell ref="V121:V128"/>
    <mergeCell ref="V129:V136"/>
    <mergeCell ref="V6:V8"/>
    <mergeCell ref="V10:V14"/>
    <mergeCell ref="V16:V24"/>
    <mergeCell ref="V66:V74"/>
    <mergeCell ref="V76:V83"/>
    <mergeCell ref="W42:W49"/>
    <mergeCell ref="Q6:T6"/>
    <mergeCell ref="Q7:T7"/>
    <mergeCell ref="Q10:T14"/>
    <mergeCell ref="Q16:Q24"/>
    <mergeCell ref="R16:R24"/>
    <mergeCell ref="T16:T24"/>
    <mergeCell ref="S42:S49"/>
    <mergeCell ref="T42:T49"/>
    <mergeCell ref="U42:U49"/>
    <mergeCell ref="Q42:Q49"/>
    <mergeCell ref="R42:R49"/>
    <mergeCell ref="U66:U74"/>
    <mergeCell ref="E66:E74"/>
    <mergeCell ref="F66:F74"/>
    <mergeCell ref="G66:G74"/>
    <mergeCell ref="H66:H74"/>
    <mergeCell ref="I66:I74"/>
    <mergeCell ref="V58:V65"/>
    <mergeCell ref="U10:U14"/>
    <mergeCell ref="U16:U24"/>
    <mergeCell ref="V42:V49"/>
    <mergeCell ref="V25:V33"/>
    <mergeCell ref="E16:E24"/>
    <mergeCell ref="F16:F24"/>
    <mergeCell ref="G16:G24"/>
    <mergeCell ref="H16:H24"/>
    <mergeCell ref="I50:I57"/>
    <mergeCell ref="K25:K33"/>
    <mergeCell ref="L25:L33"/>
    <mergeCell ref="Q25:Q33"/>
    <mergeCell ref="R25:R33"/>
    <mergeCell ref="S25:S33"/>
    <mergeCell ref="J42:J49"/>
    <mergeCell ref="K42:K49"/>
    <mergeCell ref="L42:L49"/>
    <mergeCell ref="I76:I83"/>
    <mergeCell ref="E75:H75"/>
    <mergeCell ref="U76:U87"/>
    <mergeCell ref="J76:J83"/>
    <mergeCell ref="U96:U103"/>
    <mergeCell ref="U104:U111"/>
    <mergeCell ref="U113:U120"/>
    <mergeCell ref="U121:U128"/>
    <mergeCell ref="K104:K111"/>
    <mergeCell ref="L104:L111"/>
    <mergeCell ref="R88:R95"/>
    <mergeCell ref="Q76:Q83"/>
    <mergeCell ref="G104:G111"/>
    <mergeCell ref="H104:H111"/>
    <mergeCell ref="E112:H112"/>
    <mergeCell ref="E113:E120"/>
    <mergeCell ref="F113:F120"/>
    <mergeCell ref="K113:K120"/>
    <mergeCell ref="Q121:Q128"/>
    <mergeCell ref="G121:G128"/>
    <mergeCell ref="H121:H128"/>
    <mergeCell ref="G113:G120"/>
    <mergeCell ref="H113:H120"/>
    <mergeCell ref="I113:I120"/>
    <mergeCell ref="U129:U136"/>
    <mergeCell ref="U88:U95"/>
    <mergeCell ref="Q201:Q208"/>
    <mergeCell ref="R201:R208"/>
    <mergeCell ref="S201:S208"/>
    <mergeCell ref="T201:T208"/>
    <mergeCell ref="R193:R200"/>
    <mergeCell ref="S193:S200"/>
    <mergeCell ref="T193:T200"/>
    <mergeCell ref="T155:T162"/>
    <mergeCell ref="Q163:Q170"/>
    <mergeCell ref="R163:R170"/>
    <mergeCell ref="S163:S170"/>
    <mergeCell ref="T163:T170"/>
    <mergeCell ref="R176:R184"/>
    <mergeCell ref="S176:S184"/>
    <mergeCell ref="T176:T184"/>
    <mergeCell ref="S138:S146"/>
    <mergeCell ref="T138:T146"/>
    <mergeCell ref="Q147:Q154"/>
    <mergeCell ref="R147:R154"/>
    <mergeCell ref="S147:S154"/>
    <mergeCell ref="T147:T154"/>
    <mergeCell ref="R138:R146"/>
    <mergeCell ref="R210:R218"/>
    <mergeCell ref="S210:S218"/>
    <mergeCell ref="T210:T218"/>
    <mergeCell ref="I210:I218"/>
    <mergeCell ref="Q185:Q192"/>
    <mergeCell ref="R185:R192"/>
    <mergeCell ref="S185:S192"/>
    <mergeCell ref="T185:T192"/>
    <mergeCell ref="Q193:Q200"/>
    <mergeCell ref="J210:J218"/>
    <mergeCell ref="K210:K218"/>
    <mergeCell ref="L210:L218"/>
    <mergeCell ref="I193:I200"/>
    <mergeCell ref="J193:J200"/>
    <mergeCell ref="J201:J208"/>
    <mergeCell ref="M185:M192"/>
    <mergeCell ref="N185:N192"/>
    <mergeCell ref="O185:O192"/>
    <mergeCell ref="P185:P192"/>
    <mergeCell ref="M193:M200"/>
    <mergeCell ref="N193:N200"/>
    <mergeCell ref="O193:O200"/>
    <mergeCell ref="P193:P200"/>
    <mergeCell ref="M201:M208"/>
    <mergeCell ref="H96:H103"/>
    <mergeCell ref="E88:E95"/>
    <mergeCell ref="F88:F95"/>
    <mergeCell ref="G88:G95"/>
    <mergeCell ref="H88:H95"/>
    <mergeCell ref="H129:H136"/>
    <mergeCell ref="F121:F128"/>
    <mergeCell ref="F104:F111"/>
    <mergeCell ref="Q210:Q218"/>
    <mergeCell ref="J185:J192"/>
    <mergeCell ref="K163:K170"/>
    <mergeCell ref="L163:L170"/>
    <mergeCell ref="L176:L184"/>
    <mergeCell ref="H176:H184"/>
    <mergeCell ref="F163:F170"/>
    <mergeCell ref="E163:E170"/>
    <mergeCell ref="K155:K162"/>
    <mergeCell ref="F129:F136"/>
    <mergeCell ref="G129:G136"/>
    <mergeCell ref="G163:G170"/>
    <mergeCell ref="H163:H170"/>
    <mergeCell ref="E171:H175"/>
    <mergeCell ref="E176:E184"/>
    <mergeCell ref="F176:F184"/>
    <mergeCell ref="S113:S120"/>
    <mergeCell ref="K66:K74"/>
    <mergeCell ref="L66:L74"/>
    <mergeCell ref="R66:R74"/>
    <mergeCell ref="S66:S74"/>
    <mergeCell ref="T66:T74"/>
    <mergeCell ref="S88:S95"/>
    <mergeCell ref="T88:T95"/>
    <mergeCell ref="S76:S83"/>
    <mergeCell ref="T76:T83"/>
    <mergeCell ref="T113:T120"/>
    <mergeCell ref="S96:S103"/>
    <mergeCell ref="M66:M74"/>
    <mergeCell ref="N66:N74"/>
    <mergeCell ref="O66:O74"/>
    <mergeCell ref="P66:P74"/>
    <mergeCell ref="M76:M83"/>
    <mergeCell ref="N76:N83"/>
    <mergeCell ref="O76:O83"/>
    <mergeCell ref="P76:P83"/>
    <mergeCell ref="M84:P87"/>
    <mergeCell ref="M88:M95"/>
    <mergeCell ref="N88:N95"/>
    <mergeCell ref="O88:O95"/>
    <mergeCell ref="A229:C229"/>
    <mergeCell ref="A228:C228"/>
    <mergeCell ref="A227:C227"/>
    <mergeCell ref="A219:C219"/>
    <mergeCell ref="A220:C220"/>
    <mergeCell ref="E210:E218"/>
    <mergeCell ref="F210:F218"/>
    <mergeCell ref="A6:D8"/>
    <mergeCell ref="U201:U208"/>
    <mergeCell ref="U210:U218"/>
    <mergeCell ref="U219:U220"/>
    <mergeCell ref="K76:K83"/>
    <mergeCell ref="L76:L83"/>
    <mergeCell ref="I84:L87"/>
    <mergeCell ref="I129:I136"/>
    <mergeCell ref="K121:K128"/>
    <mergeCell ref="L121:L128"/>
    <mergeCell ref="K138:K146"/>
    <mergeCell ref="E129:E136"/>
    <mergeCell ref="J129:J136"/>
    <mergeCell ref="K129:K136"/>
    <mergeCell ref="F155:F162"/>
    <mergeCell ref="I155:I162"/>
    <mergeCell ref="J155:J162"/>
    <mergeCell ref="A86:A87"/>
    <mergeCell ref="K185:K192"/>
    <mergeCell ref="L185:L192"/>
    <mergeCell ref="K201:K208"/>
    <mergeCell ref="L201:L208"/>
    <mergeCell ref="E104:E111"/>
    <mergeCell ref="E121:E128"/>
    <mergeCell ref="I104:I111"/>
    <mergeCell ref="J121:J128"/>
    <mergeCell ref="E155:E162"/>
    <mergeCell ref="L113:L120"/>
    <mergeCell ref="L129:L136"/>
    <mergeCell ref="G155:G162"/>
    <mergeCell ref="H155:H162"/>
    <mergeCell ref="I147:I154"/>
    <mergeCell ref="J147:J154"/>
    <mergeCell ref="L147:L154"/>
    <mergeCell ref="I121:I128"/>
    <mergeCell ref="I138:I146"/>
    <mergeCell ref="J138:J146"/>
    <mergeCell ref="L155:L162"/>
    <mergeCell ref="E96:E103"/>
    <mergeCell ref="F96:F103"/>
    <mergeCell ref="G96:G103"/>
    <mergeCell ref="I171:L175"/>
    <mergeCell ref="I176:I184"/>
    <mergeCell ref="J176:J184"/>
    <mergeCell ref="K176:K184"/>
    <mergeCell ref="R76:R83"/>
    <mergeCell ref="Q66:Q74"/>
    <mergeCell ref="I6:L6"/>
    <mergeCell ref="I7:L7"/>
    <mergeCell ref="I10:L14"/>
    <mergeCell ref="I16:I24"/>
    <mergeCell ref="J16:J24"/>
    <mergeCell ref="K16:K24"/>
    <mergeCell ref="L16:L24"/>
    <mergeCell ref="I9:U9"/>
    <mergeCell ref="U6:U8"/>
    <mergeCell ref="S16:S24"/>
    <mergeCell ref="T121:T128"/>
    <mergeCell ref="Q129:Q136"/>
    <mergeCell ref="R129:R136"/>
    <mergeCell ref="S129:S136"/>
    <mergeCell ref="T129:T136"/>
    <mergeCell ref="J66:J74"/>
    <mergeCell ref="Q113:Q120"/>
    <mergeCell ref="R113:R120"/>
    <mergeCell ref="A230:C230"/>
    <mergeCell ref="A231:C231"/>
    <mergeCell ref="A222:C222"/>
    <mergeCell ref="A223:C225"/>
    <mergeCell ref="A226:C226"/>
    <mergeCell ref="Q84:T87"/>
    <mergeCell ref="Q88:Q95"/>
    <mergeCell ref="K193:K200"/>
    <mergeCell ref="L193:L200"/>
    <mergeCell ref="I201:I208"/>
    <mergeCell ref="T96:T103"/>
    <mergeCell ref="Q104:Q111"/>
    <mergeCell ref="R104:R111"/>
    <mergeCell ref="S104:S111"/>
    <mergeCell ref="T104:T111"/>
    <mergeCell ref="Q96:Q103"/>
    <mergeCell ref="R96:R103"/>
    <mergeCell ref="K147:K154"/>
    <mergeCell ref="E137:H137"/>
    <mergeCell ref="E138:E146"/>
    <mergeCell ref="F138:F146"/>
    <mergeCell ref="G138:G146"/>
    <mergeCell ref="H138:H146"/>
    <mergeCell ref="E147:E154"/>
    <mergeCell ref="E6:H6"/>
    <mergeCell ref="E7:H7"/>
    <mergeCell ref="E10:H14"/>
    <mergeCell ref="E15:H15"/>
    <mergeCell ref="E84:H87"/>
    <mergeCell ref="E76:E83"/>
    <mergeCell ref="F76:F83"/>
    <mergeCell ref="G76:G83"/>
    <mergeCell ref="H76:H83"/>
    <mergeCell ref="E9:H9"/>
    <mergeCell ref="E42:E49"/>
    <mergeCell ref="F42:F49"/>
    <mergeCell ref="G42:G49"/>
    <mergeCell ref="H42:H49"/>
    <mergeCell ref="E50:E57"/>
    <mergeCell ref="F50:F57"/>
    <mergeCell ref="G50:G57"/>
    <mergeCell ref="H50:H57"/>
    <mergeCell ref="E25:E33"/>
    <mergeCell ref="F25:F33"/>
    <mergeCell ref="G25:G33"/>
    <mergeCell ref="H25:H33"/>
    <mergeCell ref="E34:E41"/>
    <mergeCell ref="F34:F41"/>
    <mergeCell ref="F147:F154"/>
    <mergeCell ref="G147:G154"/>
    <mergeCell ref="H147:H154"/>
    <mergeCell ref="E209:H209"/>
    <mergeCell ref="H201:H208"/>
    <mergeCell ref="H193:H200"/>
    <mergeCell ref="G210:G218"/>
    <mergeCell ref="H210:H218"/>
    <mergeCell ref="G185:G192"/>
    <mergeCell ref="H185:H192"/>
    <mergeCell ref="E193:E200"/>
    <mergeCell ref="F193:F200"/>
    <mergeCell ref="G193:G200"/>
    <mergeCell ref="E201:E208"/>
    <mergeCell ref="F201:F208"/>
    <mergeCell ref="G201:G208"/>
    <mergeCell ref="E185:E192"/>
    <mergeCell ref="F185:F192"/>
    <mergeCell ref="G176:G184"/>
    <mergeCell ref="U138:U175"/>
    <mergeCell ref="U176:U200"/>
    <mergeCell ref="I88:I95"/>
    <mergeCell ref="J88:J95"/>
    <mergeCell ref="K88:K95"/>
    <mergeCell ref="L88:L95"/>
    <mergeCell ref="I96:I103"/>
    <mergeCell ref="Q138:Q146"/>
    <mergeCell ref="Q155:Q162"/>
    <mergeCell ref="Q171:T175"/>
    <mergeCell ref="Q176:Q184"/>
    <mergeCell ref="S121:S128"/>
    <mergeCell ref="R121:R128"/>
    <mergeCell ref="R155:R162"/>
    <mergeCell ref="S155:S162"/>
    <mergeCell ref="J96:J103"/>
    <mergeCell ref="L96:L103"/>
    <mergeCell ref="J104:J111"/>
    <mergeCell ref="K96:K103"/>
    <mergeCell ref="J113:J120"/>
    <mergeCell ref="L138:L146"/>
    <mergeCell ref="I185:I192"/>
    <mergeCell ref="I163:I170"/>
    <mergeCell ref="J163:J170"/>
    <mergeCell ref="I25:I33"/>
    <mergeCell ref="J25:J33"/>
    <mergeCell ref="T25:T33"/>
    <mergeCell ref="U25:U33"/>
    <mergeCell ref="W25:W33"/>
    <mergeCell ref="Q34:Q41"/>
    <mergeCell ref="R34:R41"/>
    <mergeCell ref="S34:S41"/>
    <mergeCell ref="T34:T41"/>
    <mergeCell ref="M34:M41"/>
    <mergeCell ref="N34:N41"/>
    <mergeCell ref="O34:O41"/>
    <mergeCell ref="P34:P41"/>
    <mergeCell ref="G34:G41"/>
    <mergeCell ref="H34:H41"/>
    <mergeCell ref="I34:I41"/>
    <mergeCell ref="J34:J41"/>
    <mergeCell ref="K34:K41"/>
    <mergeCell ref="L34:L41"/>
    <mergeCell ref="U34:U41"/>
    <mergeCell ref="V34:V41"/>
    <mergeCell ref="W34:W41"/>
    <mergeCell ref="I42:I49"/>
    <mergeCell ref="K50:K57"/>
    <mergeCell ref="L50:L57"/>
    <mergeCell ref="Q50:Q57"/>
    <mergeCell ref="R50:R57"/>
    <mergeCell ref="S50:S57"/>
    <mergeCell ref="T50:T57"/>
    <mergeCell ref="U50:U57"/>
    <mergeCell ref="V50:V57"/>
    <mergeCell ref="J50:J57"/>
    <mergeCell ref="M42:M49"/>
    <mergeCell ref="N42:N49"/>
    <mergeCell ref="O42:O49"/>
    <mergeCell ref="P42:P49"/>
    <mergeCell ref="M50:M57"/>
    <mergeCell ref="N50:N57"/>
    <mergeCell ref="O50:O57"/>
    <mergeCell ref="P50:P57"/>
    <mergeCell ref="W50:W57"/>
    <mergeCell ref="E58:E65"/>
    <mergeCell ref="F58:F65"/>
    <mergeCell ref="G58:G65"/>
    <mergeCell ref="H58:H65"/>
    <mergeCell ref="I58:I65"/>
    <mergeCell ref="J58:J65"/>
    <mergeCell ref="K58:K65"/>
    <mergeCell ref="W58:W65"/>
    <mergeCell ref="L58:L65"/>
    <mergeCell ref="Q58:Q65"/>
    <mergeCell ref="R58:R65"/>
    <mergeCell ref="S58:S65"/>
    <mergeCell ref="T58:T65"/>
    <mergeCell ref="U58:U65"/>
    <mergeCell ref="M58:M65"/>
    <mergeCell ref="N58:N65"/>
    <mergeCell ref="O58:O65"/>
    <mergeCell ref="P58:P65"/>
  </mergeCells>
  <phoneticPr fontId="31" type="noConversion"/>
  <dataValidations count="8">
    <dataValidation type="list" allowBlank="1" showInputMessage="1" showErrorMessage="1" sqref="M16:T24" xr:uid="{00000000-0002-0000-0300-000000000000}">
      <formula1>$AF$377:$AF$394</formula1>
    </dataValidation>
    <dataValidation type="list" allowBlank="1" showInputMessage="1" showErrorMessage="1" sqref="M66:T74 M25:T33" xr:uid="{00000000-0002-0000-0300-000001000000}">
      <formula1>$AF$405:$AF$410</formula1>
    </dataValidation>
    <dataValidation type="list" allowBlank="1" showInputMessage="1" showErrorMessage="1" sqref="M113:T128 M76:T87 M138:T208 M50:T57" xr:uid="{00000000-0002-0000-0300-000002000000}">
      <formula1>$AF$366:$AF$369</formula1>
    </dataValidation>
    <dataValidation type="list" allowBlank="1" showInputMessage="1" showErrorMessage="1" sqref="M129:T136 M210:T218 M88:T103" xr:uid="{00000000-0002-0000-0300-000003000000}">
      <formula1>$AF$371:$AF$375</formula1>
    </dataValidation>
    <dataValidation type="list" allowBlank="1" showInputMessage="1" showErrorMessage="1" sqref="M104:T111 M34:T49" xr:uid="{00000000-0002-0000-0300-000004000000}">
      <formula1>$AF$396:$AF$403</formula1>
    </dataValidation>
    <dataValidation type="list" allowBlank="1" showInputMessage="1" showErrorMessage="1" sqref="M10:T14" xr:uid="{00000000-0002-0000-0300-000005000000}">
      <formula1>$AF$362:$AF$364</formula1>
    </dataValidation>
    <dataValidation type="list" allowBlank="1" showInputMessage="1" showErrorMessage="1" sqref="C17" xr:uid="{00000000-0002-0000-0300-000006000000}">
      <formula1>$AG$331:$AG$346</formula1>
    </dataValidation>
    <dataValidation type="list" allowBlank="1" showInputMessage="1" showErrorMessage="1" sqref="M58:T65" xr:uid="{00000000-0002-0000-0300-000008000000}">
      <formula1>$AF$427:$AF$435</formula1>
    </dataValidation>
  </dataValidations>
  <pageMargins left="0.78740157480314965" right="0.55118110236220474" top="0.51181102362204722" bottom="0.74803149606299213" header="0.31496062992125984" footer="0.31496062992125984"/>
  <pageSetup paperSize="9" fitToHeight="0" orientation="portrait" r:id="rId1"/>
  <headerFooter>
    <oddFooter>&amp;C&amp;7page &amp;P+11&amp;R&amp;6
ALL RIGHTS RESERVED © COPYRIGHT</oddFooter>
  </headerFooter>
  <rowBreaks count="11" manualBreakCount="11">
    <brk id="24" max="7" man="1"/>
    <brk id="41" max="7" man="1"/>
    <brk id="57" max="7" man="1"/>
    <brk id="74" max="7" man="1"/>
    <brk id="95" max="7" man="1"/>
    <brk id="111" max="7" man="1"/>
    <brk id="128" max="7" man="1"/>
    <brk id="146" max="7" man="1"/>
    <brk id="170" max="7" man="1"/>
    <brk id="192" max="7" man="1"/>
    <brk id="208" max="7"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K22"/>
  <sheetViews>
    <sheetView view="pageBreakPreview" zoomScaleNormal="85" zoomScaleSheetLayoutView="100" zoomScalePageLayoutView="85" workbookViewId="0">
      <selection activeCell="I1" sqref="I1"/>
    </sheetView>
  </sheetViews>
  <sheetFormatPr defaultRowHeight="12.75"/>
  <cols>
    <col min="1" max="8" width="11.140625" customWidth="1"/>
  </cols>
  <sheetData>
    <row r="1" spans="1:11">
      <c r="A1" s="71"/>
      <c r="B1" s="71"/>
      <c r="C1" s="71"/>
      <c r="D1" s="71"/>
      <c r="E1" s="71"/>
      <c r="F1" s="71"/>
      <c r="G1" s="71"/>
      <c r="H1" s="71"/>
      <c r="I1" s="253" t="s">
        <v>600</v>
      </c>
      <c r="J1" s="16"/>
      <c r="K1" s="16"/>
    </row>
    <row r="2" spans="1:11">
      <c r="A2" s="71"/>
      <c r="B2" s="71"/>
      <c r="C2" s="71"/>
      <c r="D2" s="71"/>
      <c r="E2" s="310"/>
      <c r="F2" s="309"/>
      <c r="G2" s="309"/>
      <c r="H2" s="309" t="str">
        <f>'Project Summary'!C6</f>
        <v>2123-123XX(x)</v>
      </c>
      <c r="I2" s="16"/>
      <c r="J2" s="16"/>
      <c r="K2" s="16"/>
    </row>
    <row r="3" spans="1:11">
      <c r="A3" s="71"/>
      <c r="B3" s="71"/>
      <c r="C3" s="71"/>
      <c r="D3" s="71"/>
      <c r="E3" s="71"/>
      <c r="F3" s="309"/>
      <c r="G3" s="309"/>
      <c r="H3" s="309" t="str">
        <f>"BEAM Plus " &amp; 'Project Summary'!C9 &amp; " Report For"</f>
        <v>BEAM Plus Provisional Assessment Report For</v>
      </c>
      <c r="I3" s="16"/>
      <c r="J3" s="16"/>
      <c r="K3" s="16"/>
    </row>
    <row r="4" spans="1:11">
      <c r="A4" s="71" t="s">
        <v>441</v>
      </c>
      <c r="B4" s="71"/>
      <c r="C4" s="71"/>
      <c r="D4" s="71"/>
      <c r="E4" s="310"/>
      <c r="F4" s="309"/>
      <c r="G4" s="309"/>
      <c r="H4" s="309" t="str">
        <f>'Project Summary'!C7</f>
        <v>ABC Residential Development</v>
      </c>
      <c r="I4" s="16"/>
      <c r="J4" s="16"/>
      <c r="K4" s="16"/>
    </row>
    <row r="5" spans="1:11" ht="12.75" customHeight="1">
      <c r="A5" s="603"/>
      <c r="B5" s="603"/>
      <c r="C5" s="604"/>
      <c r="D5" s="604"/>
      <c r="E5" s="604"/>
      <c r="F5" s="604"/>
      <c r="G5" s="604"/>
      <c r="H5" s="604"/>
      <c r="I5" s="16"/>
    </row>
    <row r="6" spans="1:11" ht="15">
      <c r="A6" s="219" t="s">
        <v>443</v>
      </c>
      <c r="B6" s="219"/>
      <c r="C6" s="16"/>
      <c r="D6" s="16"/>
      <c r="E6" s="16"/>
      <c r="F6" s="16"/>
      <c r="G6" s="16"/>
      <c r="H6" s="16"/>
      <c r="I6" s="16"/>
    </row>
    <row r="7" spans="1:11" ht="15">
      <c r="A7" s="219"/>
      <c r="B7" s="219"/>
      <c r="C7" s="16"/>
      <c r="D7" s="16"/>
      <c r="E7" s="16"/>
      <c r="F7" s="16"/>
      <c r="G7" s="16"/>
      <c r="H7" s="16"/>
      <c r="I7" s="16"/>
    </row>
    <row r="8" spans="1:11" ht="12.75" customHeight="1">
      <c r="A8" s="605" t="s">
        <v>332</v>
      </c>
      <c r="B8" s="606"/>
      <c r="C8" s="607"/>
      <c r="D8" s="606" t="s">
        <v>372</v>
      </c>
      <c r="E8" s="616" t="s">
        <v>373</v>
      </c>
      <c r="F8" s="619" t="s">
        <v>374</v>
      </c>
      <c r="G8" s="619" t="s">
        <v>375</v>
      </c>
      <c r="H8" s="622" t="s">
        <v>376</v>
      </c>
      <c r="I8" s="16"/>
    </row>
    <row r="9" spans="1:11">
      <c r="A9" s="608"/>
      <c r="B9" s="609"/>
      <c r="C9" s="610"/>
      <c r="D9" s="614"/>
      <c r="E9" s="617"/>
      <c r="F9" s="620"/>
      <c r="G9" s="620"/>
      <c r="H9" s="623"/>
      <c r="I9" s="16"/>
    </row>
    <row r="10" spans="1:11">
      <c r="A10" s="611"/>
      <c r="B10" s="612"/>
      <c r="C10" s="613"/>
      <c r="D10" s="615"/>
      <c r="E10" s="618"/>
      <c r="F10" s="621"/>
      <c r="G10" s="621"/>
      <c r="H10" s="624"/>
      <c r="I10" s="16"/>
    </row>
    <row r="11" spans="1:11" ht="22.5" customHeight="1">
      <c r="A11" s="625" t="s">
        <v>33</v>
      </c>
      <c r="B11" s="625"/>
      <c r="C11" s="625"/>
      <c r="D11" s="323">
        <f>'EU Comment'!E219</f>
        <v>15</v>
      </c>
      <c r="E11" s="323">
        <f>'EU Comment'!E220</f>
        <v>15</v>
      </c>
      <c r="F11" s="324" t="e">
        <f>'EU Comment'!AA2</f>
        <v>#DIV/0!</v>
      </c>
      <c r="G11" s="325" t="e">
        <f>D11*F11</f>
        <v>#DIV/0!</v>
      </c>
      <c r="H11" s="325" t="e">
        <f>E11*F11</f>
        <v>#DIV/0!</v>
      </c>
      <c r="I11" s="16"/>
    </row>
    <row r="12" spans="1:11" ht="22.5" customHeight="1">
      <c r="A12" s="626" t="s">
        <v>34</v>
      </c>
      <c r="B12" s="626"/>
      <c r="C12" s="626"/>
      <c r="D12" s="311">
        <f>'EU Comment'!F219</f>
        <v>0</v>
      </c>
      <c r="E12" s="311">
        <f>'EU Comment'!F220</f>
        <v>0</v>
      </c>
      <c r="F12" s="312" t="e">
        <f>'EU Comment'!AA3</f>
        <v>#DIV/0!</v>
      </c>
      <c r="G12" s="313" t="e">
        <f>D12*F12</f>
        <v>#DIV/0!</v>
      </c>
      <c r="H12" s="313" t="e">
        <f>E12*F12</f>
        <v>#DIV/0!</v>
      </c>
      <c r="I12" s="16"/>
    </row>
    <row r="13" spans="1:11" ht="22.5" customHeight="1">
      <c r="A13" s="626" t="s">
        <v>387</v>
      </c>
      <c r="B13" s="626"/>
      <c r="C13" s="626"/>
      <c r="D13" s="311">
        <f>'EU Comment'!G219</f>
        <v>0</v>
      </c>
      <c r="E13" s="311">
        <f>'EU Comment'!G220</f>
        <v>0</v>
      </c>
      <c r="F13" s="312" t="e">
        <f>'EU Comment'!AA4</f>
        <v>#DIV/0!</v>
      </c>
      <c r="G13" s="313" t="e">
        <f>D13*F13</f>
        <v>#DIV/0!</v>
      </c>
      <c r="H13" s="313" t="e">
        <f>E13*F13</f>
        <v>#DIV/0!</v>
      </c>
      <c r="I13" s="16"/>
    </row>
    <row r="14" spans="1:11" ht="22.5" customHeight="1">
      <c r="A14" s="626" t="s">
        <v>388</v>
      </c>
      <c r="B14" s="626"/>
      <c r="C14" s="626"/>
      <c r="D14" s="311">
        <f>'EU Comment'!H219</f>
        <v>0</v>
      </c>
      <c r="E14" s="311">
        <f>'EU Comment'!H220</f>
        <v>0</v>
      </c>
      <c r="F14" s="312" t="e">
        <f>'EU Comment'!AA5</f>
        <v>#DIV/0!</v>
      </c>
      <c r="G14" s="313" t="e">
        <f>D14*F14</f>
        <v>#DIV/0!</v>
      </c>
      <c r="H14" s="313" t="e">
        <f>E14*F14</f>
        <v>#DIV/0!</v>
      </c>
      <c r="I14" s="16"/>
    </row>
    <row r="15" spans="1:11" ht="22.5" customHeight="1">
      <c r="A15" s="627" t="s">
        <v>467</v>
      </c>
      <c r="B15" s="627"/>
      <c r="C15" s="627"/>
      <c r="D15" s="627"/>
      <c r="E15" s="627"/>
      <c r="F15" s="627"/>
      <c r="G15" s="313" t="e">
        <f>SUM(G11:G14)</f>
        <v>#DIV/0!</v>
      </c>
      <c r="H15" s="313" t="e">
        <f>SUM(H11:H14)</f>
        <v>#DIV/0!</v>
      </c>
      <c r="I15" s="16"/>
    </row>
    <row r="16" spans="1:11">
      <c r="A16" s="16"/>
      <c r="B16" s="16"/>
      <c r="C16" s="16"/>
      <c r="D16" s="16"/>
      <c r="E16" s="16"/>
      <c r="F16" s="16"/>
      <c r="G16" s="16"/>
      <c r="H16" s="16"/>
      <c r="I16" s="16"/>
    </row>
    <row r="17" spans="1:9">
      <c r="A17" s="16"/>
      <c r="B17" s="16"/>
      <c r="C17" s="16"/>
      <c r="D17" s="16"/>
      <c r="E17" s="16"/>
      <c r="F17" s="16"/>
      <c r="G17" s="16"/>
      <c r="H17" s="16"/>
      <c r="I17" s="16"/>
    </row>
    <row r="18" spans="1:9">
      <c r="A18" s="16"/>
      <c r="B18" s="16"/>
      <c r="C18" s="16"/>
      <c r="D18" s="16"/>
      <c r="E18" s="16"/>
      <c r="F18" s="16"/>
      <c r="G18" s="16"/>
      <c r="H18" s="16"/>
      <c r="I18" s="16"/>
    </row>
    <row r="19" spans="1:9">
      <c r="A19" s="16"/>
      <c r="B19" s="16"/>
      <c r="C19" s="16"/>
      <c r="D19" s="16"/>
      <c r="E19" s="16"/>
      <c r="F19" s="16"/>
      <c r="G19" s="16"/>
      <c r="H19" s="16"/>
      <c r="I19" s="16"/>
    </row>
    <row r="20" spans="1:9">
      <c r="A20" s="16"/>
      <c r="B20" s="16"/>
      <c r="C20" s="16"/>
      <c r="D20" s="16"/>
      <c r="E20" s="16"/>
      <c r="F20" s="16"/>
      <c r="G20" s="16"/>
      <c r="H20" s="16"/>
      <c r="I20" s="16"/>
    </row>
    <row r="21" spans="1:9">
      <c r="A21" s="16"/>
      <c r="B21" s="16"/>
      <c r="C21" s="16"/>
      <c r="D21" s="16"/>
      <c r="E21" s="16"/>
      <c r="F21" s="16"/>
      <c r="G21" s="16"/>
      <c r="H21" s="16"/>
      <c r="I21" s="16"/>
    </row>
    <row r="22" spans="1:9">
      <c r="A22" s="16"/>
      <c r="B22" s="16"/>
      <c r="C22" s="16"/>
      <c r="D22" s="16"/>
      <c r="E22" s="16"/>
      <c r="F22" s="16"/>
      <c r="G22" s="16"/>
      <c r="H22" s="16"/>
      <c r="I22" s="16"/>
    </row>
  </sheetData>
  <sheetProtection formatRows="0"/>
  <mergeCells count="12">
    <mergeCell ref="A11:C11"/>
    <mergeCell ref="A12:C12"/>
    <mergeCell ref="A13:C13"/>
    <mergeCell ref="A14:C14"/>
    <mergeCell ref="A15:F15"/>
    <mergeCell ref="A5:H5"/>
    <mergeCell ref="A8:C10"/>
    <mergeCell ref="D8:D10"/>
    <mergeCell ref="E8:E10"/>
    <mergeCell ref="F8:F10"/>
    <mergeCell ref="G8:G10"/>
    <mergeCell ref="H8:H10"/>
  </mergeCells>
  <phoneticPr fontId="31" type="noConversion"/>
  <pageMargins left="0.78776041666666663" right="0.54166666666666663" top="0.52083333333333337" bottom="0.74803149606299213" header="0.31496062992125984" footer="0.31496062992125984"/>
  <pageSetup paperSize="9" orientation="portrait" r:id="rId1"/>
  <headerFooter>
    <oddFooter>&amp;C&amp;7page &amp;P+11&amp;R&amp;6
ALL RIGHTS RESERVED © COPYRIGHT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Z412"/>
  <sheetViews>
    <sheetView view="pageBreakPreview" topLeftCell="D1" zoomScale="85" zoomScaleNormal="85" zoomScaleSheetLayoutView="85" zoomScalePageLayoutView="55" workbookViewId="0">
      <selection activeCell="G7" sqref="G7"/>
    </sheetView>
  </sheetViews>
  <sheetFormatPr defaultColWidth="9" defaultRowHeight="12.75"/>
  <cols>
    <col min="1" max="1" width="8.7109375" customWidth="1"/>
    <col min="2" max="2" width="1.28515625" customWidth="1"/>
    <col min="3" max="3" width="62.7109375" customWidth="1"/>
    <col min="4" max="4" width="1.28515625" customWidth="1"/>
    <col min="5" max="5" width="12.7109375" customWidth="1"/>
    <col min="6" max="8" width="19.7109375" customWidth="1"/>
    <col min="9" max="9" width="33.28515625" customWidth="1"/>
    <col min="10" max="12" width="9" style="16"/>
    <col min="19" max="19" width="9" customWidth="1"/>
    <col min="20" max="20" width="72.5703125" customWidth="1"/>
    <col min="26" max="26" width="0" hidden="1" customWidth="1"/>
  </cols>
  <sheetData>
    <row r="1" spans="1:26">
      <c r="A1" s="391"/>
      <c r="B1" s="391"/>
      <c r="C1" s="391"/>
      <c r="D1" s="391"/>
      <c r="E1" s="391"/>
      <c r="F1" s="16"/>
      <c r="G1" s="16"/>
      <c r="H1" s="16"/>
      <c r="I1" s="16"/>
      <c r="J1" s="253" t="s">
        <v>600</v>
      </c>
      <c r="Z1">
        <v>11</v>
      </c>
    </row>
    <row r="2" spans="1:26">
      <c r="A2" s="391"/>
      <c r="B2" s="391"/>
      <c r="C2" s="391"/>
      <c r="D2" s="391"/>
      <c r="E2" s="392" t="str">
        <f>'Project Summary'!C6</f>
        <v>2123-123XX(x)</v>
      </c>
      <c r="F2" s="64"/>
      <c r="G2" s="64"/>
      <c r="H2" s="64"/>
      <c r="I2" s="64"/>
      <c r="Z2">
        <v>16</v>
      </c>
    </row>
    <row r="3" spans="1:26">
      <c r="A3" s="391"/>
      <c r="B3" s="391"/>
      <c r="C3" s="391"/>
      <c r="D3" s="391"/>
      <c r="E3" s="392" t="str">
        <f>"BEAM Plus " &amp; 'Project Summary'!C9 &amp; " Report For"</f>
        <v>BEAM Plus Provisional Assessment Report For</v>
      </c>
      <c r="F3" s="64"/>
      <c r="G3" s="64"/>
      <c r="H3" s="64"/>
      <c r="I3" s="64"/>
      <c r="Z3">
        <v>22</v>
      </c>
    </row>
    <row r="4" spans="1:26">
      <c r="A4" s="391" t="s">
        <v>333</v>
      </c>
      <c r="B4" s="391"/>
      <c r="C4" s="391"/>
      <c r="D4" s="391"/>
      <c r="E4" s="392" t="str">
        <f>'Project Summary'!C7</f>
        <v>ABC Residential Development</v>
      </c>
      <c r="F4" s="64"/>
      <c r="G4" s="64"/>
      <c r="H4" s="64"/>
      <c r="I4" s="64"/>
      <c r="Z4">
        <v>27</v>
      </c>
    </row>
    <row r="5" spans="1:26">
      <c r="A5" s="176"/>
      <c r="B5" s="176"/>
      <c r="C5" s="176"/>
      <c r="D5" s="176"/>
      <c r="E5" s="177"/>
      <c r="F5" s="67"/>
      <c r="G5" s="67"/>
      <c r="H5" s="67"/>
      <c r="I5" s="67"/>
      <c r="Z5">
        <v>32</v>
      </c>
    </row>
    <row r="6" spans="1:26" ht="22.5" customHeight="1">
      <c r="A6" s="485" t="s">
        <v>112</v>
      </c>
      <c r="B6" s="486"/>
      <c r="C6" s="486"/>
      <c r="D6" s="68"/>
      <c r="E6" s="368" t="s">
        <v>172</v>
      </c>
      <c r="F6" s="321" t="s">
        <v>56</v>
      </c>
      <c r="G6" s="113" t="s">
        <v>660</v>
      </c>
      <c r="H6" s="113" t="s">
        <v>57</v>
      </c>
      <c r="I6" s="114" t="s">
        <v>422</v>
      </c>
      <c r="Z6">
        <v>38</v>
      </c>
    </row>
    <row r="7" spans="1:26" ht="22.5" customHeight="1">
      <c r="A7" s="116" t="s">
        <v>41</v>
      </c>
      <c r="B7" s="126"/>
      <c r="C7" s="128" t="s">
        <v>67</v>
      </c>
      <c r="D7" s="169"/>
      <c r="E7" s="305" t="s">
        <v>370</v>
      </c>
      <c r="F7" s="225" t="s">
        <v>213</v>
      </c>
      <c r="G7" s="226"/>
      <c r="H7" s="226"/>
      <c r="I7" s="227"/>
      <c r="Z7">
        <v>43</v>
      </c>
    </row>
    <row r="8" spans="1:26" ht="22.5" customHeight="1">
      <c r="A8" s="120" t="s">
        <v>42</v>
      </c>
      <c r="B8" s="139"/>
      <c r="C8" s="161" t="s">
        <v>279</v>
      </c>
      <c r="D8" s="161"/>
      <c r="E8" s="500" t="str">
        <f>H8</f>
        <v>Insert No. of Credit(s) Here</v>
      </c>
      <c r="F8" s="505" t="s">
        <v>10</v>
      </c>
      <c r="G8" s="502" t="s">
        <v>435</v>
      </c>
      <c r="H8" s="502" t="s">
        <v>435</v>
      </c>
      <c r="I8" s="504" t="s">
        <v>572</v>
      </c>
      <c r="Z8">
        <v>48</v>
      </c>
    </row>
    <row r="9" spans="1:26" ht="25.5">
      <c r="A9" s="124"/>
      <c r="B9" s="59"/>
      <c r="C9" s="60" t="s">
        <v>535</v>
      </c>
      <c r="D9" s="60"/>
      <c r="E9" s="544"/>
      <c r="F9" s="506"/>
      <c r="G9" s="503"/>
      <c r="H9" s="503"/>
      <c r="I9" s="628"/>
      <c r="Z9">
        <v>53</v>
      </c>
    </row>
    <row r="10" spans="1:26">
      <c r="A10" s="124"/>
      <c r="B10" s="59"/>
      <c r="C10" s="60"/>
      <c r="D10" s="60"/>
      <c r="E10" s="544"/>
      <c r="F10" s="506"/>
      <c r="G10" s="503"/>
      <c r="H10" s="503"/>
      <c r="I10" s="628"/>
      <c r="Z10">
        <v>59</v>
      </c>
    </row>
    <row r="11" spans="1:26">
      <c r="A11" s="124"/>
      <c r="B11" s="59"/>
      <c r="C11" s="224" t="s">
        <v>430</v>
      </c>
      <c r="D11" s="65"/>
      <c r="E11" s="544"/>
      <c r="F11" s="506"/>
      <c r="G11" s="503"/>
      <c r="H11" s="503"/>
      <c r="I11" s="628"/>
    </row>
    <row r="12" spans="1:26" ht="30" customHeight="1">
      <c r="A12" s="184"/>
      <c r="B12" s="181"/>
      <c r="C12" s="180" t="str">
        <f>IFERROR(VLOOKUP($E8,$V:$W,2,FALSE),"-")</f>
        <v>-</v>
      </c>
      <c r="D12" s="166"/>
      <c r="E12" s="544"/>
      <c r="F12" s="506"/>
      <c r="G12" s="503"/>
      <c r="H12" s="503"/>
      <c r="I12" s="628"/>
    </row>
    <row r="13" spans="1:26" ht="22.5" customHeight="1">
      <c r="A13" s="120" t="s">
        <v>43</v>
      </c>
      <c r="B13" s="139"/>
      <c r="C13" s="161" t="s">
        <v>280</v>
      </c>
      <c r="D13" s="161"/>
      <c r="E13" s="500" t="str">
        <f>H13</f>
        <v>Insert No. of Credit(s) Here</v>
      </c>
      <c r="F13" s="505" t="s">
        <v>10</v>
      </c>
      <c r="G13" s="502" t="s">
        <v>435</v>
      </c>
      <c r="H13" s="502" t="s">
        <v>435</v>
      </c>
      <c r="I13" s="504" t="s">
        <v>597</v>
      </c>
    </row>
    <row r="14" spans="1:26" ht="25.5" customHeight="1">
      <c r="A14" s="124"/>
      <c r="B14" s="59"/>
      <c r="C14" s="60" t="s">
        <v>536</v>
      </c>
      <c r="D14" s="60"/>
      <c r="E14" s="500"/>
      <c r="F14" s="505"/>
      <c r="G14" s="503"/>
      <c r="H14" s="503"/>
      <c r="I14" s="628"/>
    </row>
    <row r="15" spans="1:26">
      <c r="A15" s="124"/>
      <c r="B15" s="59"/>
      <c r="C15" s="60"/>
      <c r="D15" s="60"/>
      <c r="E15" s="500"/>
      <c r="F15" s="505"/>
      <c r="G15" s="503"/>
      <c r="H15" s="503"/>
      <c r="I15" s="628"/>
    </row>
    <row r="16" spans="1:26">
      <c r="A16" s="124"/>
      <c r="B16" s="59"/>
      <c r="C16" s="224" t="s">
        <v>430</v>
      </c>
      <c r="D16" s="65"/>
      <c r="E16" s="500"/>
      <c r="F16" s="505"/>
      <c r="G16" s="503"/>
      <c r="H16" s="503"/>
      <c r="I16" s="628"/>
    </row>
    <row r="17" spans="1:20" ht="30" customHeight="1">
      <c r="A17" s="184"/>
      <c r="B17" s="181"/>
      <c r="C17" s="180" t="str">
        <f>IFERROR(VLOOKUP($E13,$V:$W,2,FALSE),"-")</f>
        <v>-</v>
      </c>
      <c r="D17" s="166"/>
      <c r="E17" s="500"/>
      <c r="F17" s="505"/>
      <c r="G17" s="503"/>
      <c r="H17" s="503"/>
      <c r="I17" s="628"/>
    </row>
    <row r="18" spans="1:20" ht="22.5" customHeight="1">
      <c r="A18" s="115">
        <v>5.0999999999999996</v>
      </c>
      <c r="B18" s="126"/>
      <c r="C18" s="128" t="s">
        <v>45</v>
      </c>
      <c r="D18" s="169"/>
      <c r="E18" s="305"/>
      <c r="F18" s="150"/>
      <c r="G18" s="126"/>
      <c r="H18" s="126"/>
      <c r="I18" s="127"/>
    </row>
    <row r="19" spans="1:20" ht="22.5" customHeight="1">
      <c r="A19" s="120" t="s">
        <v>44</v>
      </c>
      <c r="B19" s="161"/>
      <c r="C19" s="161" t="s">
        <v>281</v>
      </c>
      <c r="D19" s="161"/>
      <c r="E19" s="500" t="str">
        <f>H19</f>
        <v>Insert No. of Credit(s) Here</v>
      </c>
      <c r="F19" s="505" t="str">
        <f>IF(H19="NA","NA",IF(OR(H19="NS",H19=0,H19=1,H19=2,H19=3),3,"-"))</f>
        <v>-</v>
      </c>
      <c r="G19" s="502" t="s">
        <v>435</v>
      </c>
      <c r="H19" s="502" t="s">
        <v>435</v>
      </c>
      <c r="I19" s="504" t="s">
        <v>597</v>
      </c>
      <c r="J19"/>
    </row>
    <row r="20" spans="1:20" ht="51">
      <c r="A20" s="379" t="s">
        <v>250</v>
      </c>
      <c r="B20" s="60"/>
      <c r="C20" s="60" t="s">
        <v>537</v>
      </c>
      <c r="D20" s="60"/>
      <c r="E20" s="500"/>
      <c r="F20" s="505"/>
      <c r="G20" s="502"/>
      <c r="H20" s="502"/>
      <c r="I20" s="628"/>
      <c r="J20"/>
    </row>
    <row r="21" spans="1:20">
      <c r="A21" s="123"/>
      <c r="B21" s="61"/>
      <c r="C21" s="60"/>
      <c r="D21" s="60"/>
      <c r="E21" s="500"/>
      <c r="F21" s="505"/>
      <c r="G21" s="502"/>
      <c r="H21" s="502"/>
      <c r="I21" s="628"/>
      <c r="J21"/>
    </row>
    <row r="22" spans="1:20">
      <c r="A22" s="185"/>
      <c r="B22" s="85"/>
      <c r="C22" s="224" t="s">
        <v>430</v>
      </c>
      <c r="D22" s="65"/>
      <c r="E22" s="500"/>
      <c r="F22" s="505"/>
      <c r="G22" s="502"/>
      <c r="H22" s="502"/>
      <c r="I22" s="628"/>
      <c r="J22"/>
    </row>
    <row r="23" spans="1:20" ht="30" customHeight="1">
      <c r="A23" s="122"/>
      <c r="B23" s="182"/>
      <c r="C23" s="180" t="str">
        <f>IFERROR(VLOOKUP($E19,$S:$T,2,FALSE),"-")</f>
        <v>-</v>
      </c>
      <c r="D23" s="166"/>
      <c r="E23" s="500"/>
      <c r="F23" s="505"/>
      <c r="G23" s="502"/>
      <c r="H23" s="502"/>
      <c r="I23" s="628"/>
      <c r="J23"/>
      <c r="T23" s="18"/>
    </row>
    <row r="24" spans="1:20" ht="22.5" customHeight="1">
      <c r="A24" s="120" t="s">
        <v>46</v>
      </c>
      <c r="B24" s="139"/>
      <c r="C24" s="161" t="s">
        <v>282</v>
      </c>
      <c r="D24" s="161"/>
      <c r="E24" s="500" t="str">
        <f>H24</f>
        <v>Insert No. of Credit(s) Here</v>
      </c>
      <c r="F24" s="505" t="str">
        <f>IF(H24="NA","NA",IF(OR(H24="NS",H24=0,H24=1),1,"-"))</f>
        <v>-</v>
      </c>
      <c r="G24" s="502" t="s">
        <v>435</v>
      </c>
      <c r="H24" s="502" t="s">
        <v>435</v>
      </c>
      <c r="I24" s="504"/>
    </row>
    <row r="25" spans="1:20" ht="25.5">
      <c r="A25" s="379" t="s">
        <v>182</v>
      </c>
      <c r="B25" s="82"/>
      <c r="C25" s="60" t="s">
        <v>538</v>
      </c>
      <c r="D25" s="60"/>
      <c r="E25" s="500"/>
      <c r="F25" s="505"/>
      <c r="G25" s="502"/>
      <c r="H25" s="502"/>
      <c r="I25" s="504"/>
    </row>
    <row r="26" spans="1:20">
      <c r="A26" s="121"/>
      <c r="B26" s="82"/>
      <c r="C26" s="60"/>
      <c r="D26" s="60"/>
      <c r="E26" s="500"/>
      <c r="F26" s="505"/>
      <c r="G26" s="502"/>
      <c r="H26" s="502"/>
      <c r="I26" s="504"/>
    </row>
    <row r="27" spans="1:20">
      <c r="A27" s="185"/>
      <c r="B27" s="85"/>
      <c r="C27" s="224" t="s">
        <v>430</v>
      </c>
      <c r="D27" s="65"/>
      <c r="E27" s="500"/>
      <c r="F27" s="505"/>
      <c r="G27" s="502"/>
      <c r="H27" s="502"/>
      <c r="I27" s="504"/>
    </row>
    <row r="28" spans="1:20" ht="30" customHeight="1">
      <c r="A28" s="122"/>
      <c r="B28" s="182"/>
      <c r="C28" s="180" t="str">
        <f>IFERROR(VLOOKUP($E24,$S:$T,2,FALSE),"-")</f>
        <v>-</v>
      </c>
      <c r="D28" s="166"/>
      <c r="E28" s="500"/>
      <c r="F28" s="505"/>
      <c r="G28" s="502"/>
      <c r="H28" s="502"/>
      <c r="I28" s="504"/>
    </row>
    <row r="29" spans="1:20" ht="22.5" customHeight="1">
      <c r="A29" s="120" t="s">
        <v>47</v>
      </c>
      <c r="B29" s="161"/>
      <c r="C29" s="161" t="s">
        <v>283</v>
      </c>
      <c r="D29" s="161"/>
      <c r="E29" s="500" t="str">
        <f>H29</f>
        <v>Insert No. of Credit(s) Here</v>
      </c>
      <c r="F29" s="505" t="str">
        <f>IF(H29="NA","NA",IF(OR(H29="NS",H29=0,H29=1),1,"-"))</f>
        <v>-</v>
      </c>
      <c r="G29" s="502" t="s">
        <v>435</v>
      </c>
      <c r="H29" s="502" t="s">
        <v>435</v>
      </c>
      <c r="I29" s="504" t="s">
        <v>52</v>
      </c>
    </row>
    <row r="30" spans="1:20" ht="89.25">
      <c r="A30" s="379" t="s">
        <v>182</v>
      </c>
      <c r="B30" s="60"/>
      <c r="C30" s="92" t="s">
        <v>539</v>
      </c>
      <c r="D30" s="85"/>
      <c r="E30" s="500"/>
      <c r="F30" s="505"/>
      <c r="G30" s="502"/>
      <c r="H30" s="502"/>
      <c r="I30" s="504"/>
    </row>
    <row r="31" spans="1:20">
      <c r="A31" s="123"/>
      <c r="B31" s="61"/>
      <c r="C31" s="85"/>
      <c r="D31" s="85"/>
      <c r="E31" s="500"/>
      <c r="F31" s="505"/>
      <c r="G31" s="502"/>
      <c r="H31" s="502"/>
      <c r="I31" s="504"/>
    </row>
    <row r="32" spans="1:20">
      <c r="A32" s="185"/>
      <c r="B32" s="85"/>
      <c r="C32" s="224" t="s">
        <v>430</v>
      </c>
      <c r="D32" s="65"/>
      <c r="E32" s="500"/>
      <c r="F32" s="505"/>
      <c r="G32" s="502"/>
      <c r="H32" s="502"/>
      <c r="I32" s="504"/>
    </row>
    <row r="33" spans="1:9" ht="30" customHeight="1">
      <c r="A33" s="122"/>
      <c r="B33" s="182"/>
      <c r="C33" s="180" t="str">
        <f>IFERROR(VLOOKUP($E29,$S:$T,2,FALSE),"-")</f>
        <v>-</v>
      </c>
      <c r="D33" s="166"/>
      <c r="E33" s="500"/>
      <c r="F33" s="505"/>
      <c r="G33" s="502"/>
      <c r="H33" s="502"/>
      <c r="I33" s="504"/>
    </row>
    <row r="34" spans="1:9" ht="22.5" customHeight="1">
      <c r="A34" s="120" t="s">
        <v>48</v>
      </c>
      <c r="B34" s="139"/>
      <c r="C34" s="161" t="s">
        <v>285</v>
      </c>
      <c r="D34" s="161"/>
      <c r="E34" s="500" t="str">
        <f>H34</f>
        <v>Insert No. of Credit(s) Here</v>
      </c>
      <c r="F34" s="505" t="str">
        <f>IF(H34="NA","NA",IF(OR(H34="NS",H34=0,H34=1),1,"-"))</f>
        <v>-</v>
      </c>
      <c r="G34" s="502" t="s">
        <v>435</v>
      </c>
      <c r="H34" s="502" t="s">
        <v>435</v>
      </c>
      <c r="I34" s="500"/>
    </row>
    <row r="35" spans="1:9" ht="22.5" customHeight="1">
      <c r="A35" s="124" t="s">
        <v>284</v>
      </c>
      <c r="B35" s="59"/>
      <c r="C35" s="86" t="s">
        <v>286</v>
      </c>
      <c r="D35" s="86"/>
      <c r="E35" s="500"/>
      <c r="F35" s="505"/>
      <c r="G35" s="502"/>
      <c r="H35" s="502"/>
      <c r="I35" s="500"/>
    </row>
    <row r="36" spans="1:9" ht="25.5">
      <c r="A36" s="379" t="s">
        <v>182</v>
      </c>
      <c r="B36" s="82"/>
      <c r="C36" s="60" t="s">
        <v>540</v>
      </c>
      <c r="D36" s="60"/>
      <c r="E36" s="500"/>
      <c r="F36" s="505"/>
      <c r="G36" s="502"/>
      <c r="H36" s="502"/>
      <c r="I36" s="500"/>
    </row>
    <row r="37" spans="1:9">
      <c r="A37" s="121"/>
      <c r="B37" s="82"/>
      <c r="C37" s="60"/>
      <c r="D37" s="60"/>
      <c r="E37" s="500"/>
      <c r="F37" s="505"/>
      <c r="G37" s="502"/>
      <c r="H37" s="502"/>
      <c r="I37" s="500"/>
    </row>
    <row r="38" spans="1:9">
      <c r="A38" s="185"/>
      <c r="B38" s="85"/>
      <c r="C38" s="224" t="s">
        <v>430</v>
      </c>
      <c r="D38" s="65"/>
      <c r="E38" s="500"/>
      <c r="F38" s="505"/>
      <c r="G38" s="502"/>
      <c r="H38" s="502"/>
      <c r="I38" s="500"/>
    </row>
    <row r="39" spans="1:9" ht="30" customHeight="1">
      <c r="A39" s="122"/>
      <c r="B39" s="182"/>
      <c r="C39" s="180" t="str">
        <f>IFERROR(VLOOKUP($E34,$S:$T,2,FALSE),"-")</f>
        <v>-</v>
      </c>
      <c r="D39" s="166"/>
      <c r="E39" s="500"/>
      <c r="F39" s="505"/>
      <c r="G39" s="502"/>
      <c r="H39" s="502"/>
      <c r="I39" s="500"/>
    </row>
    <row r="40" spans="1:9" ht="22.5" customHeight="1">
      <c r="A40" s="120" t="s">
        <v>287</v>
      </c>
      <c r="B40" s="139"/>
      <c r="C40" s="161" t="s">
        <v>288</v>
      </c>
      <c r="D40" s="161"/>
      <c r="E40" s="500" t="str">
        <f>H40</f>
        <v>Insert No. of Credit(s) Here</v>
      </c>
      <c r="F40" s="505" t="str">
        <f>IF(H40="NA","NA",IF(OR(H40="NS",H40=0,H40=1),1,"-"))</f>
        <v>-</v>
      </c>
      <c r="G40" s="502" t="s">
        <v>435</v>
      </c>
      <c r="H40" s="502" t="s">
        <v>435</v>
      </c>
      <c r="I40" s="500"/>
    </row>
    <row r="41" spans="1:9" ht="25.5">
      <c r="A41" s="379" t="s">
        <v>182</v>
      </c>
      <c r="B41" s="82"/>
      <c r="C41" s="60" t="s">
        <v>541</v>
      </c>
      <c r="D41" s="60"/>
      <c r="E41" s="500"/>
      <c r="F41" s="505"/>
      <c r="G41" s="502"/>
      <c r="H41" s="502"/>
      <c r="I41" s="500"/>
    </row>
    <row r="42" spans="1:9">
      <c r="A42" s="121"/>
      <c r="B42" s="82"/>
      <c r="C42" s="60"/>
      <c r="D42" s="60"/>
      <c r="E42" s="500"/>
      <c r="F42" s="505"/>
      <c r="G42" s="502"/>
      <c r="H42" s="502"/>
      <c r="I42" s="500"/>
    </row>
    <row r="43" spans="1:9">
      <c r="A43" s="185"/>
      <c r="B43" s="85"/>
      <c r="C43" s="224" t="s">
        <v>430</v>
      </c>
      <c r="D43" s="65"/>
      <c r="E43" s="500"/>
      <c r="F43" s="505"/>
      <c r="G43" s="502"/>
      <c r="H43" s="502"/>
      <c r="I43" s="500"/>
    </row>
    <row r="44" spans="1:9" ht="22.5" customHeight="1">
      <c r="A44" s="122"/>
      <c r="B44" s="182"/>
      <c r="C44" s="180" t="str">
        <f>IFERROR(VLOOKUP($E40,$S:$T,2,FALSE),"-")</f>
        <v>-</v>
      </c>
      <c r="D44" s="166"/>
      <c r="E44" s="500"/>
      <c r="F44" s="505"/>
      <c r="G44" s="502"/>
      <c r="H44" s="502"/>
      <c r="I44" s="500"/>
    </row>
    <row r="45" spans="1:9" ht="22.5" customHeight="1">
      <c r="A45" s="120" t="s">
        <v>289</v>
      </c>
      <c r="B45" s="139"/>
      <c r="C45" s="161" t="s">
        <v>290</v>
      </c>
      <c r="D45" s="161"/>
      <c r="E45" s="500" t="str">
        <f>IF(H45=1,"1B",H45)</f>
        <v>Insert No. of Credit(s) Here</v>
      </c>
      <c r="F45" s="629" t="s">
        <v>60</v>
      </c>
      <c r="G45" s="502" t="s">
        <v>435</v>
      </c>
      <c r="H45" s="502" t="s">
        <v>435</v>
      </c>
      <c r="I45" s="500"/>
    </row>
    <row r="46" spans="1:9" ht="38.25">
      <c r="A46" s="379" t="s">
        <v>192</v>
      </c>
      <c r="B46" s="82"/>
      <c r="C46" s="60" t="s">
        <v>542</v>
      </c>
      <c r="D46" s="60"/>
      <c r="E46" s="500"/>
      <c r="F46" s="629"/>
      <c r="G46" s="502"/>
      <c r="H46" s="502"/>
      <c r="I46" s="500"/>
    </row>
    <row r="47" spans="1:9">
      <c r="A47" s="121"/>
      <c r="B47" s="82"/>
      <c r="C47" s="60"/>
      <c r="D47" s="60"/>
      <c r="E47" s="500"/>
      <c r="F47" s="629"/>
      <c r="G47" s="502"/>
      <c r="H47" s="502"/>
      <c r="I47" s="500"/>
    </row>
    <row r="48" spans="1:9">
      <c r="A48" s="121"/>
      <c r="B48" s="82"/>
      <c r="C48" s="224" t="s">
        <v>430</v>
      </c>
      <c r="D48" s="65"/>
      <c r="E48" s="500"/>
      <c r="F48" s="629"/>
      <c r="G48" s="502"/>
      <c r="H48" s="502"/>
      <c r="I48" s="500"/>
    </row>
    <row r="49" spans="1:9" ht="30" customHeight="1">
      <c r="A49" s="122"/>
      <c r="B49" s="183"/>
      <c r="C49" s="180" t="str">
        <f>IFERROR(VLOOKUP($E45,$S:$T,2,FALSE),"-")</f>
        <v>-</v>
      </c>
      <c r="D49" s="166"/>
      <c r="E49" s="500"/>
      <c r="F49" s="629"/>
      <c r="G49" s="502"/>
      <c r="H49" s="502"/>
      <c r="I49" s="500"/>
    </row>
    <row r="50" spans="1:9" ht="22.5" customHeight="1">
      <c r="A50" s="120" t="s">
        <v>49</v>
      </c>
      <c r="B50" s="161"/>
      <c r="C50" s="161" t="s">
        <v>291</v>
      </c>
      <c r="D50" s="161"/>
      <c r="E50" s="501" t="str">
        <f>H50</f>
        <v>Insert No. of Credit(s) Here</v>
      </c>
      <c r="F50" s="505" t="str">
        <f>IF(H50="NA","NA",IF(OR(H50="NS",H50=0,H50=1),1,"-"))</f>
        <v>-</v>
      </c>
      <c r="G50" s="502" t="s">
        <v>435</v>
      </c>
      <c r="H50" s="502" t="s">
        <v>435</v>
      </c>
      <c r="I50" s="628" t="s">
        <v>53</v>
      </c>
    </row>
    <row r="51" spans="1:9" ht="25.5">
      <c r="A51" s="379" t="s">
        <v>182</v>
      </c>
      <c r="B51" s="82"/>
      <c r="C51" s="60" t="s">
        <v>543</v>
      </c>
      <c r="D51" s="60"/>
      <c r="E51" s="501"/>
      <c r="F51" s="505"/>
      <c r="G51" s="502"/>
      <c r="H51" s="502"/>
      <c r="I51" s="507"/>
    </row>
    <row r="52" spans="1:9">
      <c r="A52" s="121"/>
      <c r="B52" s="82"/>
      <c r="C52" s="60"/>
      <c r="D52" s="60"/>
      <c r="E52" s="501"/>
      <c r="F52" s="505"/>
      <c r="G52" s="502"/>
      <c r="H52" s="502"/>
      <c r="I52" s="507"/>
    </row>
    <row r="53" spans="1:9">
      <c r="A53" s="185"/>
      <c r="B53" s="85"/>
      <c r="C53" s="224" t="s">
        <v>430</v>
      </c>
      <c r="D53" s="65"/>
      <c r="E53" s="501"/>
      <c r="F53" s="505"/>
      <c r="G53" s="502"/>
      <c r="H53" s="502"/>
      <c r="I53" s="507"/>
    </row>
    <row r="54" spans="1:9" ht="30" customHeight="1">
      <c r="A54" s="122"/>
      <c r="B54" s="182"/>
      <c r="C54" s="180" t="str">
        <f>IFERROR(VLOOKUP($E50,$S:$T,2,FALSE),"-")</f>
        <v>-</v>
      </c>
      <c r="D54" s="166"/>
      <c r="E54" s="501"/>
      <c r="F54" s="505"/>
      <c r="G54" s="502"/>
      <c r="H54" s="502"/>
      <c r="I54" s="507"/>
    </row>
    <row r="55" spans="1:9" ht="22.5" customHeight="1">
      <c r="A55" s="115">
        <v>5.2</v>
      </c>
      <c r="B55" s="126"/>
      <c r="C55" s="128" t="s">
        <v>51</v>
      </c>
      <c r="D55" s="169"/>
      <c r="E55" s="305"/>
      <c r="F55" s="150"/>
      <c r="G55" s="126"/>
      <c r="H55" s="126"/>
      <c r="I55" s="127"/>
    </row>
    <row r="56" spans="1:9" ht="22.5" customHeight="1">
      <c r="A56" s="120" t="s">
        <v>50</v>
      </c>
      <c r="B56" s="161"/>
      <c r="C56" s="161" t="s">
        <v>292</v>
      </c>
      <c r="D56" s="161"/>
      <c r="E56" s="500" t="str">
        <f>H56</f>
        <v>Insert No. of Credit(s) Here</v>
      </c>
      <c r="F56" s="505" t="str">
        <f>IF(H56="NA","NA",IF(OR(H56="NS",H56=0,H56=1),1,"-"))</f>
        <v>-</v>
      </c>
      <c r="G56" s="502" t="s">
        <v>435</v>
      </c>
      <c r="H56" s="502" t="s">
        <v>435</v>
      </c>
      <c r="I56" s="504" t="s">
        <v>598</v>
      </c>
    </row>
    <row r="57" spans="1:9" ht="25.5">
      <c r="A57" s="379" t="s">
        <v>182</v>
      </c>
      <c r="B57" s="60"/>
      <c r="C57" s="92" t="s">
        <v>54</v>
      </c>
      <c r="D57" s="85"/>
      <c r="E57" s="500"/>
      <c r="F57" s="505"/>
      <c r="G57" s="502"/>
      <c r="H57" s="502"/>
      <c r="I57" s="504"/>
    </row>
    <row r="58" spans="1:9">
      <c r="A58" s="121"/>
      <c r="B58" s="60"/>
      <c r="C58" s="85"/>
      <c r="D58" s="85"/>
      <c r="E58" s="500"/>
      <c r="F58" s="505"/>
      <c r="G58" s="502"/>
      <c r="H58" s="502"/>
      <c r="I58" s="504"/>
    </row>
    <row r="59" spans="1:9">
      <c r="A59" s="185"/>
      <c r="B59" s="85"/>
      <c r="C59" s="224" t="s">
        <v>430</v>
      </c>
      <c r="D59" s="65"/>
      <c r="E59" s="500"/>
      <c r="F59" s="505"/>
      <c r="G59" s="502"/>
      <c r="H59" s="502"/>
      <c r="I59" s="504"/>
    </row>
    <row r="60" spans="1:9" ht="30" customHeight="1">
      <c r="A60" s="122"/>
      <c r="B60" s="182"/>
      <c r="C60" s="180" t="str">
        <f>IFERROR(VLOOKUP($E56,$S:$T,2,FALSE),"-")</f>
        <v>-</v>
      </c>
      <c r="D60" s="166"/>
      <c r="E60" s="500"/>
      <c r="F60" s="505"/>
      <c r="G60" s="502"/>
      <c r="H60" s="502"/>
      <c r="I60" s="504"/>
    </row>
    <row r="61" spans="1:9" ht="22.5" customHeight="1">
      <c r="A61" s="369"/>
      <c r="B61" s="250"/>
      <c r="C61" s="344" t="s">
        <v>385</v>
      </c>
      <c r="D61" s="344"/>
      <c r="E61" s="217">
        <f>F61</f>
        <v>0</v>
      </c>
      <c r="F61" s="217">
        <f>SUM(F19:F60)</f>
        <v>0</v>
      </c>
      <c r="G61" s="217"/>
      <c r="H61" s="217"/>
      <c r="I61" s="504" t="s">
        <v>427</v>
      </c>
    </row>
    <row r="62" spans="1:9" ht="22.5" customHeight="1">
      <c r="A62" s="158"/>
      <c r="B62" s="179"/>
      <c r="C62" s="119" t="s">
        <v>386</v>
      </c>
      <c r="D62" s="119"/>
      <c r="E62" s="216">
        <f>H62</f>
        <v>0</v>
      </c>
      <c r="F62" s="216"/>
      <c r="G62" s="216">
        <f>SUM(G19:G44,G50:G60)</f>
        <v>0</v>
      </c>
      <c r="H62" s="216">
        <f>SUM(H19:H44,H50:H60)</f>
        <v>0</v>
      </c>
      <c r="I62" s="504"/>
    </row>
    <row r="63" spans="1:9" ht="22.5" customHeight="1">
      <c r="A63" s="16"/>
      <c r="B63" s="16"/>
      <c r="C63" s="16"/>
      <c r="D63" s="16"/>
      <c r="E63" s="16"/>
      <c r="F63" s="16"/>
      <c r="G63" s="16"/>
      <c r="H63" s="16"/>
      <c r="I63" s="90"/>
    </row>
    <row r="64" spans="1:9" ht="22.5" customHeight="1">
      <c r="I64" s="91"/>
    </row>
    <row r="65" spans="3:9" ht="22.5" customHeight="1">
      <c r="C65" t="s">
        <v>213</v>
      </c>
      <c r="I65" s="91"/>
    </row>
    <row r="66" spans="3:9" ht="22.5" customHeight="1">
      <c r="I66" s="91"/>
    </row>
    <row r="67" spans="3:9" ht="22.5" customHeight="1">
      <c r="I67" s="91"/>
    </row>
    <row r="68" spans="3:9" ht="22.5" customHeight="1">
      <c r="I68" s="91"/>
    </row>
    <row r="69" spans="3:9" ht="22.5" customHeight="1">
      <c r="I69" s="91"/>
    </row>
    <row r="70" spans="3:9" ht="22.5" customHeight="1">
      <c r="I70" s="91"/>
    </row>
    <row r="71" spans="3:9" ht="22.5" customHeight="1">
      <c r="I71" s="91"/>
    </row>
    <row r="72" spans="3:9" ht="22.5" customHeight="1">
      <c r="I72" s="91"/>
    </row>
    <row r="73" spans="3:9" ht="22.5" customHeight="1">
      <c r="I73" s="91"/>
    </row>
    <row r="74" spans="3:9" ht="22.5" customHeight="1">
      <c r="I74" s="91"/>
    </row>
    <row r="75" spans="3:9" ht="22.5" customHeight="1">
      <c r="I75" s="91"/>
    </row>
    <row r="76" spans="3:9" ht="22.5" customHeight="1">
      <c r="I76" s="91"/>
    </row>
    <row r="77" spans="3:9" ht="22.5" customHeight="1">
      <c r="I77" s="91"/>
    </row>
    <row r="78" spans="3:9" ht="22.5" customHeight="1">
      <c r="I78" s="91"/>
    </row>
    <row r="79" spans="3:9" ht="22.5" customHeight="1">
      <c r="I79" s="91"/>
    </row>
    <row r="80" spans="3:9" ht="22.5" customHeight="1">
      <c r="I80" s="91"/>
    </row>
    <row r="81" spans="9:9" ht="22.5" customHeight="1">
      <c r="I81" s="91"/>
    </row>
    <row r="82" spans="9:9" ht="22.5" customHeight="1"/>
    <row r="83" spans="9:9" ht="22.5" customHeight="1"/>
    <row r="84" spans="9:9" ht="22.5" customHeight="1"/>
    <row r="85" spans="9:9" ht="22.5" customHeight="1"/>
    <row r="86" spans="9:9" ht="22.5" customHeight="1"/>
    <row r="87" spans="9:9" ht="22.5" customHeight="1"/>
    <row r="88" spans="9:9" ht="22.5" customHeight="1"/>
    <row r="89" spans="9:9" ht="22.5" customHeight="1"/>
    <row r="90" spans="9:9" ht="22.5" customHeight="1"/>
    <row r="91" spans="9:9" ht="22.5" customHeight="1"/>
    <row r="92" spans="9:9" ht="22.5" customHeight="1"/>
    <row r="93" spans="9:9" ht="22.5" customHeight="1"/>
    <row r="94" spans="9:9" ht="22.5" customHeight="1"/>
    <row r="95" spans="9:9" ht="22.5" customHeight="1"/>
    <row r="96" spans="9:9" ht="22.5" customHeight="1"/>
    <row r="97" ht="22.5" customHeight="1"/>
    <row r="98" ht="22.5" customHeight="1"/>
    <row r="99" ht="22.5" customHeight="1"/>
    <row r="100" ht="22.5" customHeight="1"/>
    <row r="101" ht="22.5" customHeight="1"/>
    <row r="102" ht="22.5" customHeight="1"/>
    <row r="103" ht="22.5" customHeight="1"/>
    <row r="104" ht="22.5" customHeight="1"/>
    <row r="105" ht="22.5" customHeight="1"/>
    <row r="106" ht="22.5" customHeight="1"/>
    <row r="107" ht="22.5" customHeight="1"/>
    <row r="108" ht="22.5" customHeight="1"/>
    <row r="109" ht="22.5" customHeight="1"/>
    <row r="110" ht="22.5" customHeight="1"/>
    <row r="111" ht="22.5" customHeight="1"/>
    <row r="112" ht="22.5" customHeight="1"/>
    <row r="113" spans="3:3" ht="22.5" customHeight="1"/>
    <row r="114" spans="3:3" ht="22.5" customHeight="1"/>
    <row r="115" spans="3:3" ht="22.5" customHeight="1"/>
    <row r="116" spans="3:3" ht="22.5" customHeight="1"/>
    <row r="117" spans="3:3" ht="22.5" customHeight="1"/>
    <row r="118" spans="3:3" ht="22.5" customHeight="1"/>
    <row r="119" spans="3:3" ht="22.5" customHeight="1"/>
    <row r="120" spans="3:3" ht="22.5" customHeight="1"/>
    <row r="121" spans="3:3" ht="22.5" customHeight="1"/>
    <row r="122" spans="3:3" ht="22.5" customHeight="1"/>
    <row r="123" spans="3:3" ht="22.5" customHeight="1"/>
    <row r="124" spans="3:3" ht="22.5" customHeight="1">
      <c r="C124" t="s">
        <v>213</v>
      </c>
    </row>
    <row r="125" spans="3:3" ht="22.5" customHeight="1"/>
    <row r="126" spans="3:3" ht="22.5" customHeight="1"/>
    <row r="127" spans="3:3" ht="22.5" customHeight="1"/>
    <row r="128" spans="3:3" ht="22.5" customHeight="1"/>
    <row r="129" ht="22.5" customHeight="1"/>
    <row r="130" ht="22.5" customHeight="1"/>
    <row r="131" ht="22.5" customHeight="1"/>
    <row r="132" ht="22.5" customHeight="1"/>
    <row r="133" ht="22.5" customHeight="1"/>
    <row r="134" ht="22.5" customHeight="1"/>
    <row r="135" ht="22.5" customHeight="1"/>
    <row r="136" ht="22.5" customHeight="1"/>
    <row r="137" ht="22.5" customHeight="1"/>
    <row r="138" ht="22.5" customHeight="1"/>
    <row r="139" ht="22.5" customHeight="1"/>
    <row r="140" ht="22.5" customHeight="1"/>
    <row r="141" ht="22.5" customHeight="1"/>
    <row r="142" ht="22.5" customHeight="1"/>
    <row r="143" ht="22.5" customHeight="1"/>
    <row r="144" ht="22.5" customHeight="1"/>
    <row r="145" ht="22.5" customHeight="1"/>
    <row r="146" ht="22.5" customHeight="1"/>
    <row r="147" ht="22.5" customHeight="1"/>
    <row r="148" ht="22.5" customHeight="1"/>
    <row r="149" ht="22.5" customHeight="1"/>
    <row r="150" ht="22.5" customHeight="1"/>
    <row r="151" ht="22.5" customHeight="1"/>
    <row r="152" ht="22.5" customHeight="1"/>
    <row r="153" ht="22.5" customHeight="1"/>
    <row r="154" ht="22.5" customHeight="1"/>
    <row r="155" ht="22.5" customHeight="1"/>
    <row r="156" ht="22.5" customHeight="1"/>
    <row r="157" ht="22.5" customHeight="1"/>
    <row r="158" ht="22.5" customHeight="1"/>
    <row r="159" ht="22.5" customHeight="1"/>
    <row r="160" ht="22.5" customHeight="1"/>
    <row r="161" ht="22.5" customHeight="1"/>
    <row r="162" ht="22.5" customHeight="1"/>
    <row r="163" ht="22.5" customHeight="1"/>
    <row r="164" ht="22.5" customHeight="1"/>
    <row r="165" ht="22.5" customHeight="1"/>
    <row r="166" ht="22.5" customHeight="1"/>
    <row r="167" ht="22.5" customHeight="1"/>
    <row r="168" ht="22.5" customHeight="1"/>
    <row r="169" ht="22.5" customHeight="1"/>
    <row r="170" ht="22.5" customHeight="1"/>
    <row r="171" ht="22.5" customHeight="1"/>
    <row r="172" ht="22.5" customHeight="1"/>
    <row r="173" ht="22.5" customHeight="1"/>
    <row r="174" ht="22.5" customHeight="1"/>
    <row r="175" ht="22.5" customHeight="1"/>
    <row r="176" ht="22.5" customHeight="1"/>
    <row r="177" ht="22.5" customHeight="1"/>
    <row r="178" ht="22.5" customHeight="1"/>
    <row r="179" ht="22.5" customHeight="1"/>
    <row r="180" ht="22.5" customHeight="1"/>
    <row r="181" ht="22.5" customHeight="1"/>
    <row r="182" ht="22.5" customHeight="1"/>
    <row r="183" ht="22.5" customHeight="1"/>
    <row r="184" ht="22.5" customHeight="1"/>
    <row r="185" ht="22.5" customHeight="1"/>
    <row r="186" ht="22.5" customHeight="1"/>
    <row r="187" ht="22.5" customHeight="1"/>
    <row r="188" ht="22.5" customHeight="1"/>
    <row r="189" ht="22.5" customHeight="1"/>
    <row r="190" ht="22.5" customHeight="1"/>
    <row r="191" ht="22.5" customHeight="1"/>
    <row r="192" ht="22.5" customHeight="1"/>
    <row r="193" ht="22.5" customHeight="1"/>
    <row r="194" ht="22.5" customHeight="1"/>
    <row r="195" ht="22.5" customHeight="1"/>
    <row r="196" ht="22.5" customHeight="1"/>
    <row r="197" ht="22.5" customHeight="1"/>
    <row r="198" ht="22.5" customHeight="1"/>
    <row r="199" ht="22.5" customHeight="1"/>
    <row r="200" ht="22.5" customHeight="1"/>
    <row r="201" ht="22.5" customHeight="1"/>
    <row r="202" ht="22.5" customHeight="1"/>
    <row r="203" ht="22.5" customHeight="1"/>
    <row r="204" ht="22.5" customHeight="1"/>
    <row r="205" ht="22.5" customHeight="1"/>
    <row r="206" ht="22.5" customHeight="1"/>
    <row r="207" ht="22.5" customHeight="1"/>
    <row r="208" ht="22.5" customHeight="1"/>
    <row r="209" ht="22.5" customHeight="1"/>
    <row r="210" ht="22.5" customHeight="1"/>
    <row r="211" ht="22.5" customHeight="1"/>
    <row r="212" ht="22.5" customHeight="1"/>
    <row r="213" ht="22.5" customHeight="1"/>
    <row r="214" ht="22.5" customHeight="1"/>
    <row r="215" ht="22.5" customHeight="1"/>
    <row r="216" ht="22.5" customHeight="1"/>
    <row r="217" ht="22.5" customHeight="1"/>
    <row r="218" ht="22.5" customHeight="1"/>
    <row r="219" ht="22.5" customHeight="1"/>
    <row r="220" ht="22.5" customHeight="1"/>
    <row r="221" ht="22.5" customHeight="1"/>
    <row r="222" ht="22.5" customHeight="1"/>
    <row r="223" ht="22.5" customHeight="1"/>
    <row r="224" ht="22.5" customHeight="1"/>
    <row r="225" ht="22.5" customHeight="1"/>
    <row r="226" ht="22.5" customHeight="1"/>
    <row r="227" ht="22.5" customHeight="1"/>
    <row r="228" ht="22.5" customHeight="1"/>
    <row r="229" ht="22.5" customHeight="1"/>
    <row r="230" ht="22.5" customHeight="1"/>
    <row r="231" ht="22.5" customHeight="1"/>
    <row r="232" ht="22.5" customHeight="1"/>
    <row r="233" ht="22.5" customHeight="1"/>
    <row r="234" ht="22.5" customHeight="1"/>
    <row r="235" ht="22.5" customHeight="1"/>
    <row r="236" ht="22.5" customHeight="1"/>
    <row r="237" ht="22.5" customHeight="1"/>
    <row r="238" ht="22.5" customHeight="1"/>
    <row r="239" ht="22.5" customHeight="1"/>
    <row r="240" ht="22.5" customHeight="1"/>
    <row r="241" ht="22.5" customHeight="1"/>
    <row r="242" ht="22.5" customHeight="1"/>
    <row r="243" ht="22.5" customHeight="1"/>
    <row r="244" ht="22.5" customHeight="1"/>
    <row r="245" ht="22.5" customHeight="1"/>
    <row r="246" ht="22.5" customHeight="1"/>
    <row r="247" ht="22.5" customHeight="1"/>
    <row r="248" ht="22.5" customHeight="1"/>
    <row r="249" ht="22.5" customHeight="1"/>
    <row r="250" ht="22.5" customHeight="1"/>
    <row r="251" ht="22.5" customHeight="1"/>
    <row r="252" ht="22.5" customHeight="1"/>
    <row r="253" ht="22.5" customHeight="1"/>
    <row r="254" ht="22.5" customHeight="1"/>
    <row r="255" ht="22.5" customHeight="1"/>
    <row r="256" ht="22.5" customHeight="1"/>
    <row r="257" ht="22.5" customHeight="1"/>
    <row r="258" ht="22.5" customHeight="1"/>
    <row r="259" ht="22.5" customHeight="1"/>
    <row r="260" ht="22.5" customHeight="1"/>
    <row r="261" ht="22.5" customHeight="1"/>
    <row r="262" ht="22.5" customHeight="1"/>
    <row r="263" ht="22.5" customHeight="1"/>
    <row r="264" ht="22.5" customHeight="1"/>
    <row r="265" ht="22.5" customHeight="1"/>
    <row r="266" ht="22.5" customHeight="1"/>
    <row r="267" ht="22.5" customHeight="1"/>
    <row r="268" ht="22.5" customHeight="1"/>
    <row r="269" ht="22.5" customHeight="1"/>
    <row r="270" ht="22.5" customHeight="1"/>
    <row r="271" ht="22.5" customHeight="1"/>
    <row r="272" ht="22.5" customHeight="1"/>
    <row r="273" ht="22.5" customHeight="1"/>
    <row r="274" ht="22.5" customHeight="1"/>
    <row r="275" ht="22.5" customHeight="1"/>
    <row r="276" ht="22.5" customHeight="1"/>
    <row r="277" ht="22.5" customHeight="1"/>
    <row r="278" ht="22.5" customHeight="1"/>
    <row r="279" ht="22.5" customHeight="1"/>
    <row r="280" ht="22.5" customHeight="1"/>
    <row r="281" ht="22.5" customHeight="1"/>
    <row r="282" ht="22.5" customHeight="1"/>
    <row r="283" ht="22.5" customHeight="1"/>
    <row r="284" ht="22.5" customHeight="1"/>
    <row r="285" ht="22.5" customHeight="1"/>
    <row r="286" ht="22.5" customHeight="1"/>
    <row r="287" ht="22.5" customHeight="1"/>
    <row r="288" ht="22.5" customHeight="1"/>
    <row r="289" spans="19:23" ht="22.5" customHeight="1"/>
    <row r="290" spans="19:23" ht="22.5" customHeight="1"/>
    <row r="291" spans="19:23" ht="22.5" customHeight="1"/>
    <row r="292" spans="19:23" ht="22.5" customHeight="1"/>
    <row r="293" spans="19:23" ht="22.5" customHeight="1"/>
    <row r="294" spans="19:23" ht="22.5" customHeight="1"/>
    <row r="295" spans="19:23" ht="22.5" customHeight="1"/>
    <row r="296" spans="19:23" ht="22.5" customHeight="1"/>
    <row r="297" spans="19:23" ht="22.5" customHeight="1">
      <c r="S297" t="s">
        <v>379</v>
      </c>
      <c r="T297" t="str">
        <f>"No information was submitted. Credit is not achieved in the "&amp; 'Project Summary'!C9 &amp; "."</f>
        <v>No information was submitted. Credit is not achieved in the Provisional Assessment.</v>
      </c>
      <c r="V297" s="84" t="s">
        <v>3</v>
      </c>
      <c r="W297" t="str">
        <f>"The prerequisite is achieved in the " &amp; 'Project Summary'!C9&amp; "."</f>
        <v>The prerequisite is achieved in the Provisional Assessment.</v>
      </c>
    </row>
    <row r="298" spans="19:23" ht="22.5" customHeight="1">
      <c r="S298" t="s">
        <v>4</v>
      </c>
      <c r="T298" t="str">
        <f>"Credit is not applicable in the "&amp; 'Project Summary'!C9 &amp; "."</f>
        <v>Credit is not applicable in the Provisional Assessment.</v>
      </c>
      <c r="V298" s="84" t="s">
        <v>4</v>
      </c>
      <c r="W298" t="str">
        <f>"The prerequisite is not applicable in the " &amp; 'Project Summary'!C9&amp; "."</f>
        <v>The prerequisite is not applicable in the Provisional Assessment.</v>
      </c>
    </row>
    <row r="299" spans="19:23" ht="22.5" customHeight="1">
      <c r="S299">
        <v>0</v>
      </c>
      <c r="T299" t="str">
        <f>"Credit is not achieved in the "&amp; 'Project Summary'!C9 &amp; "."</f>
        <v>Credit is not achieved in the Provisional Assessment.</v>
      </c>
      <c r="V299" s="84">
        <v>0</v>
      </c>
      <c r="W299" t="str">
        <f>"The prerequisite is not achieved in the " &amp; 'Project Summary'!C9&amp; "."</f>
        <v>The prerequisite is not achieved in the Provisional Assessment.</v>
      </c>
    </row>
    <row r="300" spans="19:23" ht="22.5" customHeight="1">
      <c r="S300">
        <v>1</v>
      </c>
      <c r="T300" t="str">
        <f>"1 credit is achieved in the "&amp; 'Project Summary'!C9 &amp; "."</f>
        <v>1 credit is achieved in the Provisional Assessment.</v>
      </c>
    </row>
    <row r="301" spans="19:23" ht="22.5" customHeight="1">
      <c r="S301">
        <v>2</v>
      </c>
      <c r="T301" t="str">
        <f>"2 credits are achieved in the "&amp; 'Project Summary'!C9 &amp; "."</f>
        <v>2 credits are achieved in the Provisional Assessment.</v>
      </c>
    </row>
    <row r="302" spans="19:23" ht="22.5" customHeight="1"/>
    <row r="303" spans="19:23" ht="22.5" customHeight="1">
      <c r="S303">
        <v>3</v>
      </c>
      <c r="T303" t="str">
        <f>"3 credits are achieved in the "&amp; 'Project Summary'!C9 &amp; "."</f>
        <v>3 credits are achieved in the Provisional Assessment.</v>
      </c>
    </row>
    <row r="304" spans="19:23" ht="22.5" customHeight="1">
      <c r="S304">
        <v>4</v>
      </c>
      <c r="T304" t="str">
        <f>"4 credits are achieved in the "&amp; 'Project Summary'!C9 &amp; "."</f>
        <v>4 credits are achieved in the Provisional Assessment.</v>
      </c>
    </row>
    <row r="305" spans="18:20" ht="22.5" customHeight="1">
      <c r="S305">
        <v>5</v>
      </c>
      <c r="T305" t="str">
        <f>"5 credits are achieved in the "&amp; 'Project Summary'!C9 &amp; "."</f>
        <v>5 credits are achieved in the Provisional Assessment.</v>
      </c>
    </row>
    <row r="306" spans="18:20" ht="22.5" customHeight="1">
      <c r="S306">
        <v>6</v>
      </c>
      <c r="T306" t="str">
        <f>"6 credits are achieved in the "&amp; 'Project Summary'!C9 &amp; "."</f>
        <v>6 credits are achieved in the Provisional Assessment.</v>
      </c>
    </row>
    <row r="307" spans="18:20" ht="22.5" customHeight="1">
      <c r="S307">
        <v>7</v>
      </c>
      <c r="T307" t="str">
        <f>"7 credits are achieved in the "&amp; 'Project Summary'!C9 &amp; "."</f>
        <v>7 credits are achieved in the Provisional Assessment.</v>
      </c>
    </row>
    <row r="308" spans="18:20" ht="22.5" customHeight="1">
      <c r="S308">
        <v>8</v>
      </c>
      <c r="T308" t="str">
        <f>"8 credits are achieved in the "&amp; 'Project Summary'!C9 &amp; "."</f>
        <v>8 credits are achieved in the Provisional Assessment.</v>
      </c>
    </row>
    <row r="309" spans="18:20" ht="22.5" customHeight="1">
      <c r="S309">
        <v>9</v>
      </c>
      <c r="T309" t="str">
        <f>"9 credits are achieved in the "&amp; 'Project Summary'!C9 &amp; "."</f>
        <v>9 credits are achieved in the Provisional Assessment.</v>
      </c>
    </row>
    <row r="310" spans="18:20" ht="22.5" customHeight="1">
      <c r="S310">
        <v>10</v>
      </c>
      <c r="T310" t="str">
        <f>"10 credits are achieved in the "&amp; 'Project Summary'!C9 &amp; "."</f>
        <v>10 credits are achieved in the Provisional Assessment.</v>
      </c>
    </row>
    <row r="311" spans="18:20" ht="22.5" customHeight="1">
      <c r="S311">
        <v>11</v>
      </c>
      <c r="T311" t="str">
        <f>"11 credits are achieved in the "&amp; 'Project Summary'!C9 &amp; "."</f>
        <v>11 credits are achieved in the Provisional Assessment.</v>
      </c>
    </row>
    <row r="312" spans="18:20" ht="22.5" customHeight="1">
      <c r="S312">
        <v>12</v>
      </c>
      <c r="T312" t="str">
        <f>"12 credits are achieved in the "&amp; 'Project Summary'!C9 &amp; "."</f>
        <v>12 credits are achieved in the Provisional Assessment.</v>
      </c>
    </row>
    <row r="313" spans="18:20" ht="22.5" customHeight="1">
      <c r="S313">
        <v>13</v>
      </c>
      <c r="T313" t="str">
        <f>"13 credits are achieved in the "&amp; 'Project Summary'!C9 &amp; "."</f>
        <v>13 credits are achieved in the Provisional Assessment.</v>
      </c>
    </row>
    <row r="314" spans="18:20" ht="22.5" customHeight="1">
      <c r="S314">
        <v>14</v>
      </c>
      <c r="T314" t="str">
        <f>"14 credits are achieved in the "&amp; 'Project Summary'!C9 &amp; "."</f>
        <v>14 credits are achieved in the Provisional Assessment.</v>
      </c>
    </row>
    <row r="315" spans="18:20" ht="22.5" customHeight="1">
      <c r="S315">
        <v>15</v>
      </c>
      <c r="T315" t="str">
        <f>"15 credits are achieved in the "&amp; 'Project Summary'!C9 &amp; "."</f>
        <v>15 credits are achieved in the Provisional Assessment.</v>
      </c>
    </row>
    <row r="316" spans="18:20" ht="22.5" customHeight="1">
      <c r="S316" t="s">
        <v>383</v>
      </c>
      <c r="T316" s="18" t="str">
        <f>"1 Bonus credit is achieved in the "&amp; 'Project Summary'!C9 &amp; "."</f>
        <v>1 Bonus credit is achieved in the Provisional Assessment.</v>
      </c>
    </row>
    <row r="317" spans="18:20" ht="22.5" customHeight="1"/>
    <row r="318" spans="18:20" ht="22.5" customHeight="1">
      <c r="R318" s="83" t="s">
        <v>420</v>
      </c>
      <c r="S318" s="83"/>
    </row>
    <row r="319" spans="18:20" ht="22.5" customHeight="1">
      <c r="R319" s="84" t="s">
        <v>3</v>
      </c>
    </row>
    <row r="320" spans="18:20" ht="22.5" customHeight="1">
      <c r="R320" s="84" t="s">
        <v>4</v>
      </c>
    </row>
    <row r="321" spans="18:18" ht="22.5" customHeight="1">
      <c r="R321" s="84">
        <v>0</v>
      </c>
    </row>
    <row r="322" spans="18:18" ht="22.5" customHeight="1">
      <c r="R322" s="84"/>
    </row>
    <row r="323" spans="18:18" ht="22.5" customHeight="1">
      <c r="R323" s="84" t="s">
        <v>4</v>
      </c>
    </row>
    <row r="324" spans="18:18" ht="22.5" customHeight="1">
      <c r="R324" s="84" t="s">
        <v>379</v>
      </c>
    </row>
    <row r="325" spans="18:18" ht="22.5" customHeight="1">
      <c r="R325" s="84">
        <v>1</v>
      </c>
    </row>
    <row r="326" spans="18:18" ht="22.5" customHeight="1">
      <c r="R326" s="84">
        <v>0</v>
      </c>
    </row>
    <row r="327" spans="18:18" ht="22.5" customHeight="1">
      <c r="R327" s="84"/>
    </row>
    <row r="328" spans="18:18" ht="22.5" customHeight="1">
      <c r="R328" s="84" t="s">
        <v>4</v>
      </c>
    </row>
    <row r="329" spans="18:18" ht="22.5" customHeight="1">
      <c r="R329" s="84" t="s">
        <v>379</v>
      </c>
    </row>
    <row r="330" spans="18:18" ht="22.5" customHeight="1">
      <c r="R330" s="84">
        <v>2</v>
      </c>
    </row>
    <row r="331" spans="18:18" ht="22.5" customHeight="1">
      <c r="R331" s="84">
        <v>1</v>
      </c>
    </row>
    <row r="332" spans="18:18" ht="22.5" customHeight="1">
      <c r="R332" s="84">
        <v>0</v>
      </c>
    </row>
    <row r="333" spans="18:18" ht="22.5" customHeight="1">
      <c r="R333" s="84"/>
    </row>
    <row r="334" spans="18:18" ht="22.5" customHeight="1">
      <c r="R334" s="84" t="s">
        <v>4</v>
      </c>
    </row>
    <row r="335" spans="18:18" ht="22.5" customHeight="1">
      <c r="R335" s="84">
        <v>1</v>
      </c>
    </row>
    <row r="336" spans="18:18" ht="22.5" customHeight="1"/>
    <row r="337" spans="18:18" ht="22.5" customHeight="1">
      <c r="R337" s="84" t="s">
        <v>4</v>
      </c>
    </row>
    <row r="338" spans="18:18" ht="22.5" customHeight="1">
      <c r="R338" s="84">
        <v>3</v>
      </c>
    </row>
    <row r="339" spans="18:18" ht="22.5" customHeight="1"/>
    <row r="340" spans="18:18" ht="22.5" customHeight="1">
      <c r="R340" t="s">
        <v>4</v>
      </c>
    </row>
    <row r="341" spans="18:18" ht="22.5" customHeight="1">
      <c r="R341" t="s">
        <v>379</v>
      </c>
    </row>
    <row r="342" spans="18:18" ht="22.5" customHeight="1">
      <c r="R342">
        <v>3</v>
      </c>
    </row>
    <row r="343" spans="18:18" ht="22.5" customHeight="1">
      <c r="R343">
        <v>2</v>
      </c>
    </row>
    <row r="344" spans="18:18" ht="22.5" customHeight="1">
      <c r="R344">
        <v>1</v>
      </c>
    </row>
    <row r="345" spans="18:18" ht="22.5" customHeight="1">
      <c r="R345">
        <v>0</v>
      </c>
    </row>
    <row r="346" spans="18:18" ht="22.5" customHeight="1"/>
    <row r="347" spans="18:18" ht="22.5" customHeight="1"/>
    <row r="348" spans="18:18" ht="22.5" customHeight="1"/>
    <row r="349" spans="18:18" ht="22.5" customHeight="1"/>
    <row r="350" spans="18:18" ht="22.5" customHeight="1"/>
    <row r="351" spans="18:18" ht="22.5" customHeight="1"/>
    <row r="352" spans="18:18" ht="22.5" customHeight="1"/>
    <row r="353" ht="22.5" customHeight="1"/>
    <row r="354" ht="22.5" customHeight="1"/>
    <row r="355" ht="22.5" customHeight="1"/>
    <row r="356" ht="22.5" customHeight="1"/>
    <row r="357" ht="22.5" customHeight="1"/>
    <row r="358" ht="22.5" customHeight="1"/>
    <row r="359" ht="22.5" customHeight="1"/>
    <row r="360" ht="22.5" customHeight="1"/>
    <row r="361" ht="22.5" customHeight="1"/>
    <row r="362" ht="22.5" customHeight="1"/>
    <row r="363" ht="22.5" customHeight="1"/>
    <row r="364" ht="22.5" customHeight="1"/>
    <row r="365" ht="22.5" customHeight="1"/>
    <row r="366" ht="22.5" customHeight="1"/>
    <row r="367" ht="22.5" customHeight="1"/>
    <row r="368" ht="22.5" customHeight="1"/>
    <row r="369" ht="22.5" customHeight="1"/>
    <row r="370" ht="22.5" customHeight="1"/>
    <row r="371" ht="22.5" customHeight="1"/>
    <row r="372" ht="22.5" customHeight="1"/>
    <row r="373" ht="22.5" customHeight="1"/>
    <row r="374" ht="22.5" customHeight="1"/>
    <row r="375" ht="22.5" customHeight="1"/>
    <row r="376" ht="22.5" customHeight="1"/>
    <row r="377" ht="22.5" customHeight="1"/>
    <row r="378" ht="22.5" customHeight="1"/>
    <row r="379" ht="22.5" customHeight="1"/>
    <row r="380" ht="22.5" customHeight="1"/>
    <row r="381" ht="22.5" customHeight="1"/>
    <row r="382" ht="22.5" customHeight="1"/>
    <row r="383" ht="22.5" customHeight="1"/>
    <row r="384" ht="22.5" customHeight="1"/>
    <row r="385" ht="22.5" customHeight="1"/>
    <row r="386" ht="22.5" customHeight="1"/>
    <row r="387" ht="22.5" customHeight="1"/>
    <row r="388" ht="22.5" customHeight="1"/>
    <row r="389" ht="22.5" customHeight="1"/>
    <row r="390" ht="22.5" customHeight="1"/>
    <row r="391" ht="22.5" customHeight="1"/>
    <row r="392" ht="22.5" customHeight="1"/>
    <row r="393" ht="22.5" customHeight="1"/>
    <row r="394" ht="22.5" customHeight="1"/>
    <row r="395" ht="22.5" customHeight="1"/>
    <row r="396" ht="22.5" customHeight="1"/>
    <row r="397" ht="22.5" customHeight="1"/>
    <row r="398" ht="22.5" customHeight="1"/>
    <row r="399" ht="22.5" customHeight="1"/>
    <row r="400" ht="22.5" customHeight="1"/>
    <row r="401" ht="22.5" customHeight="1"/>
    <row r="402" ht="22.5" customHeight="1"/>
    <row r="403" ht="22.5" customHeight="1"/>
    <row r="404" ht="22.5" customHeight="1"/>
    <row r="405" ht="22.5" customHeight="1"/>
    <row r="406" ht="22.5" customHeight="1"/>
    <row r="407" ht="22.5" customHeight="1"/>
    <row r="408" ht="22.5" customHeight="1"/>
    <row r="409" ht="22.5" customHeight="1"/>
    <row r="410" ht="22.5" customHeight="1"/>
    <row r="411" ht="22.5" customHeight="1"/>
    <row r="412" ht="22.5" customHeight="1"/>
  </sheetData>
  <sheetProtection formatRows="0"/>
  <protectedRanges>
    <protectedRange sqref="C11:D11 C16:D16 C22:D22 C27:D27 C32:D32 C38:D38 C43:D43 C48:D48 C53:D53 C59:D59" name="Range1"/>
  </protectedRanges>
  <mergeCells count="50">
    <mergeCell ref="G56:G60"/>
    <mergeCell ref="G29:G33"/>
    <mergeCell ref="G34:G39"/>
    <mergeCell ref="G40:G44"/>
    <mergeCell ref="G45:G49"/>
    <mergeCell ref="G50:G54"/>
    <mergeCell ref="E56:E60"/>
    <mergeCell ref="E24:E28"/>
    <mergeCell ref="E29:E33"/>
    <mergeCell ref="E34:E39"/>
    <mergeCell ref="E40:E44"/>
    <mergeCell ref="E45:E49"/>
    <mergeCell ref="E50:E54"/>
    <mergeCell ref="A6:C6"/>
    <mergeCell ref="E8:E12"/>
    <mergeCell ref="E13:E17"/>
    <mergeCell ref="E19:E23"/>
    <mergeCell ref="I8:I12"/>
    <mergeCell ref="I13:I17"/>
    <mergeCell ref="F8:F12"/>
    <mergeCell ref="F13:F17"/>
    <mergeCell ref="H8:H12"/>
    <mergeCell ref="H13:H17"/>
    <mergeCell ref="F19:F23"/>
    <mergeCell ref="I19:I23"/>
    <mergeCell ref="G8:G12"/>
    <mergeCell ref="G13:G17"/>
    <mergeCell ref="G19:G23"/>
    <mergeCell ref="I61:I62"/>
    <mergeCell ref="I34:I49"/>
    <mergeCell ref="H40:H44"/>
    <mergeCell ref="H45:H49"/>
    <mergeCell ref="H50:H54"/>
    <mergeCell ref="H56:H60"/>
    <mergeCell ref="I24:I28"/>
    <mergeCell ref="I29:I33"/>
    <mergeCell ref="I50:I54"/>
    <mergeCell ref="F56:F60"/>
    <mergeCell ref="H19:H23"/>
    <mergeCell ref="H24:H28"/>
    <mergeCell ref="H29:H33"/>
    <mergeCell ref="F50:F54"/>
    <mergeCell ref="H34:H39"/>
    <mergeCell ref="I56:I60"/>
    <mergeCell ref="F24:F28"/>
    <mergeCell ref="F29:F33"/>
    <mergeCell ref="F34:F39"/>
    <mergeCell ref="F40:F44"/>
    <mergeCell ref="F45:F49"/>
    <mergeCell ref="G24:G28"/>
  </mergeCells>
  <phoneticPr fontId="31" type="noConversion"/>
  <dataValidations count="3">
    <dataValidation type="list" allowBlank="1" showInputMessage="1" showErrorMessage="1" sqref="G8:H17" xr:uid="{00000000-0002-0000-0500-000000000000}">
      <formula1>$R$319:$R$321</formula1>
    </dataValidation>
    <dataValidation type="list" allowBlank="1" showInputMessage="1" showErrorMessage="1" sqref="G56:H60 G24:H54" xr:uid="{00000000-0002-0000-0500-000001000000}">
      <formula1>$R$323:$R$326</formula1>
    </dataValidation>
    <dataValidation type="list" allowBlank="1" showInputMessage="1" showErrorMessage="1" sqref="G19:H23" xr:uid="{00000000-0002-0000-0500-000002000000}">
      <formula1>$R$340:$R$345</formula1>
    </dataValidation>
  </dataValidations>
  <pageMargins left="0.78740157480314965" right="0.55118110236220474" top="0.51181102362204722" bottom="0.74803149606299213" header="0.31496062992125984" footer="0.31496062992125984"/>
  <pageSetup paperSize="9" orientation="portrait" r:id="rId1"/>
  <headerFooter>
    <oddFooter>&amp;C&amp;7page &amp;P+11&amp;R&amp;6
ALL RIGHTS RESERVED © COPYRIGHT</oddFooter>
  </headerFooter>
  <rowBreaks count="1" manualBreakCount="1">
    <brk id="64" max="2" man="1"/>
  </rowBreaks>
  <colBreaks count="1" manualBreakCount="1">
    <brk id="16" max="61"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L345"/>
  <sheetViews>
    <sheetView view="pageBreakPreview" zoomScaleNormal="85" zoomScaleSheetLayoutView="100" zoomScalePageLayoutView="70" workbookViewId="0">
      <selection activeCell="C17" sqref="C17"/>
    </sheetView>
  </sheetViews>
  <sheetFormatPr defaultColWidth="7.5703125" defaultRowHeight="12.75"/>
  <cols>
    <col min="1" max="1" width="8.7109375" customWidth="1"/>
    <col min="2" max="2" width="1.28515625" customWidth="1"/>
    <col min="3" max="3" width="62.7109375" customWidth="1"/>
    <col min="4" max="4" width="1.28515625" customWidth="1"/>
    <col min="5" max="8" width="3.7109375" style="17" customWidth="1"/>
    <col min="9" max="20" width="6" style="17" customWidth="1"/>
    <col min="21" max="21" width="32.7109375" style="105" customWidth="1"/>
    <col min="22" max="22" width="9.85546875" bestFit="1" customWidth="1"/>
    <col min="23" max="23" width="11.42578125" customWidth="1"/>
    <col min="24" max="24" width="11" customWidth="1"/>
    <col min="25" max="25" width="25.7109375" customWidth="1"/>
    <col min="26" max="26" width="11.140625" customWidth="1"/>
    <col min="27" max="27" width="10" customWidth="1"/>
    <col min="28" max="28" width="7.5703125" customWidth="1"/>
    <col min="29" max="29" width="7.5703125" hidden="1" customWidth="1"/>
    <col min="30" max="33" width="7.5703125" customWidth="1"/>
    <col min="34" max="34" width="9" customWidth="1"/>
    <col min="35" max="35" width="72.5703125" customWidth="1"/>
  </cols>
  <sheetData>
    <row r="1" spans="1:29">
      <c r="A1" s="391"/>
      <c r="B1" s="391"/>
      <c r="C1" s="391"/>
      <c r="D1" s="391"/>
      <c r="E1" s="394"/>
      <c r="F1" s="394"/>
      <c r="G1" s="394"/>
      <c r="H1" s="394"/>
      <c r="I1" s="253" t="s">
        <v>600</v>
      </c>
      <c r="J1" s="66"/>
      <c r="K1" s="66"/>
      <c r="L1" s="66"/>
      <c r="M1" s="66"/>
      <c r="N1" s="66"/>
      <c r="O1" s="66"/>
      <c r="P1" s="66"/>
      <c r="Q1" s="66"/>
      <c r="R1" s="66"/>
      <c r="S1" s="66"/>
      <c r="T1" s="66"/>
      <c r="U1" s="66"/>
      <c r="V1" s="16"/>
      <c r="W1" s="16"/>
      <c r="X1" s="94" t="s">
        <v>431</v>
      </c>
      <c r="Y1" s="95" t="s">
        <v>55</v>
      </c>
      <c r="Z1" s="95" t="s">
        <v>432</v>
      </c>
      <c r="AA1" s="96" t="s">
        <v>32</v>
      </c>
      <c r="AB1" s="16"/>
      <c r="AC1">
        <v>13</v>
      </c>
    </row>
    <row r="2" spans="1:29">
      <c r="A2" s="391"/>
      <c r="B2" s="391"/>
      <c r="C2" s="391"/>
      <c r="D2" s="392"/>
      <c r="E2" s="395"/>
      <c r="F2" s="395"/>
      <c r="G2" s="395"/>
      <c r="H2" s="395" t="str">
        <f>'Project Summary'!C6</f>
        <v>2123-123XX(x)</v>
      </c>
      <c r="I2" s="66"/>
      <c r="J2" s="66"/>
      <c r="K2" s="66"/>
      <c r="L2" s="108"/>
      <c r="M2" s="66"/>
      <c r="N2" s="66"/>
      <c r="O2" s="66"/>
      <c r="P2" s="108"/>
      <c r="Q2" s="66"/>
      <c r="R2" s="66"/>
      <c r="S2" s="66"/>
      <c r="T2" s="108"/>
      <c r="U2" s="64"/>
      <c r="V2" s="16"/>
      <c r="W2" s="16"/>
      <c r="X2" s="97" t="s">
        <v>33</v>
      </c>
      <c r="Y2" s="247"/>
      <c r="Z2" s="248"/>
      <c r="AA2" s="99" t="e">
        <f>Z2/$Z$6</f>
        <v>#DIV/0!</v>
      </c>
      <c r="AB2" s="16"/>
      <c r="AC2">
        <v>19</v>
      </c>
    </row>
    <row r="3" spans="1:29">
      <c r="A3" s="391"/>
      <c r="B3" s="391"/>
      <c r="C3" s="391"/>
      <c r="D3" s="395"/>
      <c r="E3" s="392"/>
      <c r="F3" s="392"/>
      <c r="G3" s="392"/>
      <c r="H3" s="395" t="str">
        <f>"BEAM Plus " &amp; 'Project Summary'!C9 &amp; " Report For"</f>
        <v>BEAM Plus Provisional Assessment Report For</v>
      </c>
      <c r="I3" s="16"/>
      <c r="J3" s="16"/>
      <c r="K3" s="16"/>
      <c r="L3" s="108"/>
      <c r="M3" s="16"/>
      <c r="N3" s="16"/>
      <c r="O3" s="16"/>
      <c r="P3" s="108"/>
      <c r="Q3" s="16"/>
      <c r="R3" s="16"/>
      <c r="S3" s="16"/>
      <c r="T3" s="108"/>
      <c r="U3" s="64"/>
      <c r="V3" s="16"/>
      <c r="W3" s="16"/>
      <c r="X3" s="97" t="s">
        <v>34</v>
      </c>
      <c r="Y3" s="247" t="s">
        <v>2</v>
      </c>
      <c r="Z3" s="248"/>
      <c r="AA3" s="99" t="e">
        <f>Z3/$Z$6</f>
        <v>#DIV/0!</v>
      </c>
      <c r="AB3" s="16"/>
      <c r="AC3">
        <v>28</v>
      </c>
    </row>
    <row r="4" spans="1:29">
      <c r="A4" s="391" t="s">
        <v>333</v>
      </c>
      <c r="B4" s="391"/>
      <c r="C4" s="391"/>
      <c r="D4" s="392"/>
      <c r="E4" s="395"/>
      <c r="F4" s="392"/>
      <c r="G4" s="392"/>
      <c r="H4" s="392" t="str">
        <f>'Project Summary'!C7</f>
        <v>ABC Residential Development</v>
      </c>
      <c r="I4" s="109"/>
      <c r="J4" s="64"/>
      <c r="K4" s="64"/>
      <c r="L4" s="64"/>
      <c r="M4" s="109"/>
      <c r="N4" s="64"/>
      <c r="O4" s="64"/>
      <c r="P4" s="64"/>
      <c r="Q4" s="109"/>
      <c r="R4" s="64"/>
      <c r="S4" s="64"/>
      <c r="T4" s="64"/>
      <c r="U4" s="64"/>
      <c r="V4" s="16"/>
      <c r="W4" s="16"/>
      <c r="X4" s="97" t="s">
        <v>387</v>
      </c>
      <c r="Y4" s="247"/>
      <c r="Z4" s="248"/>
      <c r="AA4" s="99" t="e">
        <f>Z4/$Z$6</f>
        <v>#DIV/0!</v>
      </c>
      <c r="AB4" s="16"/>
      <c r="AC4">
        <v>36</v>
      </c>
    </row>
    <row r="5" spans="1:29" ht="13.5" thickBot="1">
      <c r="A5" s="176"/>
      <c r="B5" s="176"/>
      <c r="C5" s="176"/>
      <c r="D5" s="176"/>
      <c r="E5" s="178"/>
      <c r="F5" s="178"/>
      <c r="G5" s="178"/>
      <c r="H5" s="178"/>
      <c r="I5" s="66"/>
      <c r="J5" s="66"/>
      <c r="K5" s="66"/>
      <c r="L5" s="66"/>
      <c r="M5" s="66"/>
      <c r="N5" s="66"/>
      <c r="O5" s="66"/>
      <c r="P5" s="66"/>
      <c r="Q5" s="66"/>
      <c r="R5" s="66"/>
      <c r="S5" s="66"/>
      <c r="T5" s="66"/>
      <c r="U5" s="66"/>
      <c r="V5" s="16"/>
      <c r="W5" s="16"/>
      <c r="X5" s="98" t="s">
        <v>388</v>
      </c>
      <c r="Y5" s="247"/>
      <c r="Z5" s="248"/>
      <c r="AA5" s="100" t="e">
        <f>Z5/$Z$6</f>
        <v>#DIV/0!</v>
      </c>
      <c r="AB5" s="16"/>
      <c r="AC5">
        <v>44</v>
      </c>
    </row>
    <row r="6" spans="1:29" ht="15.75" customHeight="1" thickBot="1">
      <c r="A6" s="578" t="s">
        <v>113</v>
      </c>
      <c r="B6" s="579"/>
      <c r="C6" s="579"/>
      <c r="D6" s="579"/>
      <c r="E6" s="545" t="s">
        <v>172</v>
      </c>
      <c r="F6" s="546"/>
      <c r="G6" s="546"/>
      <c r="H6" s="547"/>
      <c r="I6" s="546" t="s">
        <v>56</v>
      </c>
      <c r="J6" s="546"/>
      <c r="K6" s="546"/>
      <c r="L6" s="546"/>
      <c r="M6" s="545" t="s">
        <v>660</v>
      </c>
      <c r="N6" s="546"/>
      <c r="O6" s="546"/>
      <c r="P6" s="546"/>
      <c r="Q6" s="545" t="s">
        <v>57</v>
      </c>
      <c r="R6" s="546"/>
      <c r="S6" s="546"/>
      <c r="T6" s="546"/>
      <c r="U6" s="600" t="s">
        <v>422</v>
      </c>
      <c r="V6" s="600" t="s">
        <v>459</v>
      </c>
      <c r="W6" s="600" t="s">
        <v>461</v>
      </c>
      <c r="X6" s="16"/>
      <c r="Y6" s="398" t="s">
        <v>35</v>
      </c>
      <c r="Z6" s="399">
        <f>SUM(Z2:Z5)</f>
        <v>0</v>
      </c>
      <c r="AA6" s="400"/>
      <c r="AB6" s="16"/>
      <c r="AC6">
        <v>54</v>
      </c>
    </row>
    <row r="7" spans="1:29" ht="30" customHeight="1">
      <c r="A7" s="581"/>
      <c r="B7" s="582"/>
      <c r="C7" s="582"/>
      <c r="D7" s="582"/>
      <c r="E7" s="634" t="s">
        <v>246</v>
      </c>
      <c r="F7" s="635"/>
      <c r="G7" s="635"/>
      <c r="H7" s="641"/>
      <c r="I7" s="635" t="s">
        <v>246</v>
      </c>
      <c r="J7" s="635"/>
      <c r="K7" s="635"/>
      <c r="L7" s="635"/>
      <c r="M7" s="634" t="s">
        <v>246</v>
      </c>
      <c r="N7" s="635"/>
      <c r="O7" s="635"/>
      <c r="P7" s="635"/>
      <c r="Q7" s="634" t="s">
        <v>246</v>
      </c>
      <c r="R7" s="635"/>
      <c r="S7" s="635"/>
      <c r="T7" s="635"/>
      <c r="U7" s="600"/>
      <c r="V7" s="600"/>
      <c r="W7" s="600"/>
      <c r="X7" s="16"/>
      <c r="Y7" s="16"/>
      <c r="Z7" s="16"/>
      <c r="AA7" s="16"/>
      <c r="AB7" s="16"/>
      <c r="AC7">
        <v>62</v>
      </c>
    </row>
    <row r="8" spans="1:29" ht="15.75" customHeight="1">
      <c r="A8" s="581"/>
      <c r="B8" s="582"/>
      <c r="C8" s="582"/>
      <c r="D8" s="582"/>
      <c r="E8" s="171" t="s">
        <v>33</v>
      </c>
      <c r="F8" s="69" t="s">
        <v>34</v>
      </c>
      <c r="G8" s="69" t="s">
        <v>387</v>
      </c>
      <c r="H8" s="347" t="s">
        <v>388</v>
      </c>
      <c r="I8" s="322" t="s">
        <v>33</v>
      </c>
      <c r="J8" s="101" t="s">
        <v>34</v>
      </c>
      <c r="K8" s="102" t="s">
        <v>387</v>
      </c>
      <c r="L8" s="93" t="s">
        <v>388</v>
      </c>
      <c r="M8" s="172" t="s">
        <v>33</v>
      </c>
      <c r="N8" s="101" t="s">
        <v>34</v>
      </c>
      <c r="O8" s="102" t="s">
        <v>387</v>
      </c>
      <c r="P8" s="93" t="s">
        <v>388</v>
      </c>
      <c r="Q8" s="172" t="s">
        <v>33</v>
      </c>
      <c r="R8" s="101" t="s">
        <v>34</v>
      </c>
      <c r="S8" s="102" t="s">
        <v>387</v>
      </c>
      <c r="T8" s="93" t="s">
        <v>388</v>
      </c>
      <c r="U8" s="600"/>
      <c r="V8" s="600"/>
      <c r="W8" s="600"/>
      <c r="X8" s="16"/>
      <c r="Y8" s="16"/>
      <c r="Z8" s="16"/>
      <c r="AA8" s="16"/>
      <c r="AB8" s="16"/>
      <c r="AC8">
        <v>70</v>
      </c>
    </row>
    <row r="9" spans="1:29" ht="22.5" customHeight="1">
      <c r="A9" s="115" t="s">
        <v>125</v>
      </c>
      <c r="B9" s="126"/>
      <c r="C9" s="128" t="s">
        <v>67</v>
      </c>
      <c r="D9" s="191"/>
      <c r="E9" s="500"/>
      <c r="F9" s="500"/>
      <c r="G9" s="500"/>
      <c r="H9" s="500"/>
      <c r="I9" s="638"/>
      <c r="J9" s="638"/>
      <c r="K9" s="638"/>
      <c r="L9" s="638"/>
      <c r="M9" s="638"/>
      <c r="N9" s="638"/>
      <c r="O9" s="638"/>
      <c r="P9" s="638"/>
      <c r="Q9" s="638"/>
      <c r="R9" s="638"/>
      <c r="S9" s="638"/>
      <c r="T9" s="638"/>
      <c r="U9" s="467"/>
      <c r="V9" s="227"/>
      <c r="W9" s="227"/>
      <c r="X9" s="16"/>
      <c r="Y9" s="16"/>
      <c r="Z9" s="16"/>
      <c r="AA9" s="16"/>
      <c r="AB9" s="16"/>
      <c r="AC9">
        <v>78</v>
      </c>
    </row>
    <row r="10" spans="1:29" ht="22.5" customHeight="1">
      <c r="A10" s="370" t="s">
        <v>126</v>
      </c>
      <c r="B10" s="139"/>
      <c r="C10" s="161" t="s">
        <v>293</v>
      </c>
      <c r="D10" s="351"/>
      <c r="E10" s="500" t="str">
        <f>Q10</f>
        <v>Insert No. of Credit(s) Here</v>
      </c>
      <c r="F10" s="500"/>
      <c r="G10" s="500"/>
      <c r="H10" s="500"/>
      <c r="I10" s="505" t="s">
        <v>10</v>
      </c>
      <c r="J10" s="505"/>
      <c r="K10" s="505"/>
      <c r="L10" s="505"/>
      <c r="M10" s="636" t="s">
        <v>435</v>
      </c>
      <c r="N10" s="636"/>
      <c r="O10" s="636"/>
      <c r="P10" s="636"/>
      <c r="Q10" s="636" t="s">
        <v>435</v>
      </c>
      <c r="R10" s="636"/>
      <c r="S10" s="636"/>
      <c r="T10" s="636"/>
      <c r="U10" s="643" t="s">
        <v>141</v>
      </c>
      <c r="V10" s="657" t="str">
        <f>IF(Q10="NA","NA","")</f>
        <v/>
      </c>
      <c r="W10" s="657"/>
      <c r="X10" s="16"/>
      <c r="Y10" s="16"/>
      <c r="Z10" s="16"/>
      <c r="AA10" s="16"/>
      <c r="AB10" s="16"/>
      <c r="AC10">
        <v>86</v>
      </c>
    </row>
    <row r="11" spans="1:29" ht="38.25">
      <c r="A11" s="194"/>
      <c r="B11" s="59"/>
      <c r="C11" s="60" t="s">
        <v>657</v>
      </c>
      <c r="D11" s="92"/>
      <c r="E11" s="500"/>
      <c r="F11" s="500"/>
      <c r="G11" s="500"/>
      <c r="H11" s="500"/>
      <c r="I11" s="505"/>
      <c r="J11" s="505"/>
      <c r="K11" s="505"/>
      <c r="L11" s="505"/>
      <c r="M11" s="636"/>
      <c r="N11" s="636"/>
      <c r="O11" s="636"/>
      <c r="P11" s="636"/>
      <c r="Q11" s="636"/>
      <c r="R11" s="636"/>
      <c r="S11" s="636"/>
      <c r="T11" s="636"/>
      <c r="U11" s="644"/>
      <c r="V11" s="658"/>
      <c r="W11" s="658"/>
      <c r="X11" s="16"/>
      <c r="Y11" s="16"/>
      <c r="Z11" s="16"/>
      <c r="AA11" s="16"/>
      <c r="AB11" s="16"/>
      <c r="AC11">
        <v>95</v>
      </c>
    </row>
    <row r="12" spans="1:29">
      <c r="A12" s="194"/>
      <c r="B12" s="59"/>
      <c r="C12" s="60"/>
      <c r="D12" s="92"/>
      <c r="E12" s="500"/>
      <c r="F12" s="500"/>
      <c r="G12" s="500"/>
      <c r="H12" s="500"/>
      <c r="I12" s="505"/>
      <c r="J12" s="505"/>
      <c r="K12" s="505"/>
      <c r="L12" s="505"/>
      <c r="M12" s="636"/>
      <c r="N12" s="636"/>
      <c r="O12" s="636"/>
      <c r="P12" s="636"/>
      <c r="Q12" s="636"/>
      <c r="R12" s="636"/>
      <c r="S12" s="636"/>
      <c r="T12" s="636"/>
      <c r="U12" s="644"/>
      <c r="V12" s="658"/>
      <c r="W12" s="658"/>
      <c r="X12" s="16"/>
      <c r="Y12" s="16"/>
      <c r="Z12" s="16"/>
      <c r="AA12" s="16"/>
      <c r="AB12" s="16"/>
      <c r="AC12">
        <v>103</v>
      </c>
    </row>
    <row r="13" spans="1:29">
      <c r="A13" s="194"/>
      <c r="B13" s="59"/>
      <c r="C13" s="224" t="s">
        <v>430</v>
      </c>
      <c r="D13" s="92"/>
      <c r="E13" s="500"/>
      <c r="F13" s="500"/>
      <c r="G13" s="500"/>
      <c r="H13" s="500"/>
      <c r="I13" s="505"/>
      <c r="J13" s="505"/>
      <c r="K13" s="505"/>
      <c r="L13" s="505"/>
      <c r="M13" s="636"/>
      <c r="N13" s="636"/>
      <c r="O13" s="636"/>
      <c r="P13" s="636"/>
      <c r="Q13" s="636"/>
      <c r="R13" s="636"/>
      <c r="S13" s="636"/>
      <c r="T13" s="636"/>
      <c r="U13" s="644"/>
      <c r="V13" s="658"/>
      <c r="W13" s="658"/>
      <c r="X13" s="16"/>
      <c r="Y13" s="16"/>
      <c r="Z13" s="16"/>
      <c r="AA13" s="16"/>
      <c r="AB13" s="16"/>
      <c r="AC13">
        <v>112</v>
      </c>
    </row>
    <row r="14" spans="1:29" ht="30" customHeight="1">
      <c r="A14" s="195"/>
      <c r="B14" s="181"/>
      <c r="C14" s="180" t="str">
        <f>IFERROR(VLOOKUP($E10,$AK:$AL,2,FALSE),"-")</f>
        <v>-</v>
      </c>
      <c r="D14" s="192"/>
      <c r="E14" s="500"/>
      <c r="F14" s="500"/>
      <c r="G14" s="500"/>
      <c r="H14" s="500"/>
      <c r="I14" s="505"/>
      <c r="J14" s="505"/>
      <c r="K14" s="505"/>
      <c r="L14" s="505"/>
      <c r="M14" s="636"/>
      <c r="N14" s="636"/>
      <c r="O14" s="636"/>
      <c r="P14" s="636"/>
      <c r="Q14" s="636"/>
      <c r="R14" s="636"/>
      <c r="S14" s="636"/>
      <c r="T14" s="636"/>
      <c r="U14" s="645"/>
      <c r="V14" s="659"/>
      <c r="W14" s="659"/>
      <c r="X14" s="16"/>
      <c r="Y14" s="16"/>
      <c r="Z14" s="16"/>
      <c r="AA14" s="16"/>
      <c r="AB14" s="16"/>
      <c r="AC14">
        <v>120</v>
      </c>
    </row>
    <row r="15" spans="1:29" ht="22.5" customHeight="1">
      <c r="A15" s="115">
        <v>6.1</v>
      </c>
      <c r="B15" s="126"/>
      <c r="C15" s="128" t="s">
        <v>127</v>
      </c>
      <c r="D15" s="191"/>
      <c r="E15" s="505"/>
      <c r="F15" s="505"/>
      <c r="G15" s="505"/>
      <c r="H15" s="505"/>
      <c r="I15" s="150"/>
      <c r="J15" s="126"/>
      <c r="K15" s="126"/>
      <c r="L15" s="126"/>
      <c r="M15" s="126"/>
      <c r="N15" s="126"/>
      <c r="O15" s="126"/>
      <c r="P15" s="126"/>
      <c r="Q15" s="126"/>
      <c r="R15" s="126"/>
      <c r="S15" s="126"/>
      <c r="T15" s="126"/>
      <c r="U15" s="127"/>
      <c r="V15" s="127"/>
      <c r="W15" s="127"/>
      <c r="X15" s="16"/>
      <c r="Y15" s="16"/>
      <c r="Z15" s="16"/>
      <c r="AA15" s="16"/>
      <c r="AB15" s="16"/>
      <c r="AC15">
        <v>129</v>
      </c>
    </row>
    <row r="16" spans="1:29" ht="22.5" customHeight="1">
      <c r="A16" s="120" t="s">
        <v>128</v>
      </c>
      <c r="B16" s="139"/>
      <c r="C16" s="161" t="s">
        <v>294</v>
      </c>
      <c r="D16" s="351"/>
      <c r="E16" s="501" t="str">
        <f>IF(Q16&lt;&gt;"",Q16,"")</f>
        <v/>
      </c>
      <c r="F16" s="501" t="str">
        <f>IF(R16&lt;&gt;"",R16,"")</f>
        <v/>
      </c>
      <c r="G16" s="501" t="str">
        <f>IF(S16&lt;&gt;"",S16,"")</f>
        <v/>
      </c>
      <c r="H16" s="501" t="str">
        <f>IF(T16&lt;&gt;"",T16,"")</f>
        <v/>
      </c>
      <c r="I16" s="506" t="str">
        <f>IF(Q16="NA","NA",IF(AND(Q16&lt;&gt;"",OR(Q16="NS",Q16&gt;=0)),1,"-"))</f>
        <v>-</v>
      </c>
      <c r="J16" s="506" t="str">
        <f>IF(R16="NA","NA",IF(AND(R16&lt;&gt;"",OR(R16="NS",R16&gt;=0)),1,"-"))</f>
        <v>-</v>
      </c>
      <c r="K16" s="506" t="str">
        <f>IF(S16="NA","NA",IF(AND(S16&lt;&gt;"",OR(S16="NS",S16&gt;=0)),1,"-"))</f>
        <v>-</v>
      </c>
      <c r="L16" s="506" t="str">
        <f>IF(T16="NA","NA",IF(AND(T16&lt;&gt;"",OR(T16="NS",T16&gt;=0)),1,"-"))</f>
        <v>-</v>
      </c>
      <c r="M16" s="540"/>
      <c r="N16" s="558"/>
      <c r="O16" s="573"/>
      <c r="P16" s="530"/>
      <c r="Q16" s="540"/>
      <c r="R16" s="558"/>
      <c r="S16" s="573"/>
      <c r="T16" s="530"/>
      <c r="U16" s="646"/>
      <c r="V16" s="654" t="e">
        <f>IF(COUNTIF(Q16:T23,"NA")/COUNTA(Q16:T23)=1,"NA","")</f>
        <v>#DIV/0!</v>
      </c>
      <c r="W16" s="654" t="str">
        <f>IF(COUNTIF(Q16:T23,0)&gt;0,0,"")</f>
        <v/>
      </c>
      <c r="X16" s="16"/>
      <c r="Y16" s="16"/>
      <c r="Z16" s="16"/>
      <c r="AA16" s="16"/>
      <c r="AB16" s="16"/>
      <c r="AC16">
        <v>137</v>
      </c>
    </row>
    <row r="17" spans="1:35" ht="25.5">
      <c r="A17" s="379" t="s">
        <v>182</v>
      </c>
      <c r="B17" s="82"/>
      <c r="C17" s="60" t="s">
        <v>0</v>
      </c>
      <c r="D17" s="92"/>
      <c r="E17" s="501"/>
      <c r="F17" s="501"/>
      <c r="G17" s="501"/>
      <c r="H17" s="501"/>
      <c r="I17" s="506"/>
      <c r="J17" s="506"/>
      <c r="K17" s="506"/>
      <c r="L17" s="506"/>
      <c r="M17" s="540"/>
      <c r="N17" s="558"/>
      <c r="O17" s="573"/>
      <c r="P17" s="530"/>
      <c r="Q17" s="540"/>
      <c r="R17" s="558"/>
      <c r="S17" s="573"/>
      <c r="T17" s="530"/>
      <c r="U17" s="647"/>
      <c r="V17" s="655"/>
      <c r="W17" s="655"/>
      <c r="X17" s="16"/>
      <c r="Y17" s="16"/>
      <c r="Z17" s="16"/>
      <c r="AA17" s="16"/>
      <c r="AB17" s="16"/>
      <c r="AC17">
        <v>144</v>
      </c>
    </row>
    <row r="18" spans="1:35">
      <c r="A18" s="121"/>
      <c r="B18" s="82"/>
      <c r="C18" s="60"/>
      <c r="D18" s="92"/>
      <c r="E18" s="501"/>
      <c r="F18" s="501"/>
      <c r="G18" s="501"/>
      <c r="H18" s="501"/>
      <c r="I18" s="506"/>
      <c r="J18" s="506"/>
      <c r="K18" s="506"/>
      <c r="L18" s="506"/>
      <c r="M18" s="540"/>
      <c r="N18" s="558"/>
      <c r="O18" s="573"/>
      <c r="P18" s="530"/>
      <c r="Q18" s="540"/>
      <c r="R18" s="558"/>
      <c r="S18" s="573"/>
      <c r="T18" s="530"/>
      <c r="U18" s="647"/>
      <c r="V18" s="655"/>
      <c r="W18" s="655"/>
      <c r="X18" s="16"/>
      <c r="Y18" s="16"/>
      <c r="Z18" s="16"/>
      <c r="AA18" s="16"/>
      <c r="AB18" s="16"/>
      <c r="AC18">
        <v>152</v>
      </c>
    </row>
    <row r="19" spans="1:35">
      <c r="A19" s="121"/>
      <c r="B19" s="82"/>
      <c r="C19" s="224" t="s">
        <v>430</v>
      </c>
      <c r="D19" s="92"/>
      <c r="E19" s="501"/>
      <c r="F19" s="501"/>
      <c r="G19" s="501"/>
      <c r="H19" s="501"/>
      <c r="I19" s="506"/>
      <c r="J19" s="506"/>
      <c r="K19" s="506"/>
      <c r="L19" s="506"/>
      <c r="M19" s="540"/>
      <c r="N19" s="558"/>
      <c r="O19" s="573"/>
      <c r="P19" s="530"/>
      <c r="Q19" s="540"/>
      <c r="R19" s="558"/>
      <c r="S19" s="573"/>
      <c r="T19" s="530"/>
      <c r="U19" s="647"/>
      <c r="V19" s="655"/>
      <c r="W19" s="655"/>
      <c r="X19" s="16"/>
      <c r="Y19" s="16"/>
      <c r="Z19" s="16"/>
      <c r="AA19" s="16"/>
      <c r="AB19" s="16"/>
      <c r="AC19">
        <v>161</v>
      </c>
    </row>
    <row r="20" spans="1:35" ht="30" customHeight="1">
      <c r="A20" s="121"/>
      <c r="B20" s="82"/>
      <c r="C20" s="65" t="str">
        <f>"Category A   " &amp; IFERROR(VLOOKUP(E16,AH:AI,2,FALSE),"")</f>
        <v xml:space="preserve">Category A   </v>
      </c>
      <c r="D20" s="92"/>
      <c r="E20" s="501"/>
      <c r="F20" s="501"/>
      <c r="G20" s="501"/>
      <c r="H20" s="501"/>
      <c r="I20" s="506"/>
      <c r="J20" s="506"/>
      <c r="K20" s="506"/>
      <c r="L20" s="506"/>
      <c r="M20" s="540"/>
      <c r="N20" s="558"/>
      <c r="O20" s="573"/>
      <c r="P20" s="530"/>
      <c r="Q20" s="540"/>
      <c r="R20" s="558"/>
      <c r="S20" s="573"/>
      <c r="T20" s="530"/>
      <c r="U20" s="647"/>
      <c r="V20" s="655"/>
      <c r="W20" s="655"/>
      <c r="X20" s="16"/>
      <c r="Y20" s="16"/>
      <c r="Z20" s="16"/>
      <c r="AA20" s="16"/>
      <c r="AB20" s="16"/>
      <c r="AC20">
        <v>169</v>
      </c>
    </row>
    <row r="21" spans="1:35" ht="30" customHeight="1">
      <c r="A21" s="121"/>
      <c r="B21" s="82"/>
      <c r="C21" s="65" t="str">
        <f>"Category B   " &amp; IFERROR(VLOOKUP(F16,AH:AI,2,FALSE),"")</f>
        <v xml:space="preserve">Category B   </v>
      </c>
      <c r="D21" s="92"/>
      <c r="E21" s="501"/>
      <c r="F21" s="501"/>
      <c r="G21" s="501"/>
      <c r="H21" s="501"/>
      <c r="I21" s="506"/>
      <c r="J21" s="506"/>
      <c r="K21" s="506"/>
      <c r="L21" s="506"/>
      <c r="M21" s="540"/>
      <c r="N21" s="558"/>
      <c r="O21" s="573"/>
      <c r="P21" s="530"/>
      <c r="Q21" s="540"/>
      <c r="R21" s="558"/>
      <c r="S21" s="573"/>
      <c r="T21" s="530"/>
      <c r="U21" s="647"/>
      <c r="V21" s="655"/>
      <c r="W21" s="655"/>
      <c r="X21" s="16"/>
      <c r="Y21" s="16"/>
      <c r="Z21" s="16"/>
      <c r="AA21" s="16"/>
      <c r="AB21" s="16"/>
      <c r="AC21">
        <v>178</v>
      </c>
    </row>
    <row r="22" spans="1:35" ht="30" customHeight="1">
      <c r="A22" s="121"/>
      <c r="B22" s="82"/>
      <c r="C22" s="65" t="str">
        <f>"Category C   " &amp; IFERROR(VLOOKUP(G16,AH:AI,2,FALSE),"")</f>
        <v xml:space="preserve">Category C   </v>
      </c>
      <c r="D22" s="92"/>
      <c r="E22" s="501"/>
      <c r="F22" s="501"/>
      <c r="G22" s="501"/>
      <c r="H22" s="501"/>
      <c r="I22" s="506"/>
      <c r="J22" s="506"/>
      <c r="K22" s="506"/>
      <c r="L22" s="506"/>
      <c r="M22" s="540"/>
      <c r="N22" s="558"/>
      <c r="O22" s="573"/>
      <c r="P22" s="530"/>
      <c r="Q22" s="540"/>
      <c r="R22" s="558"/>
      <c r="S22" s="573"/>
      <c r="T22" s="530"/>
      <c r="U22" s="647"/>
      <c r="V22" s="655"/>
      <c r="W22" s="655"/>
      <c r="X22" s="16"/>
      <c r="Y22" s="16"/>
      <c r="Z22" s="16"/>
      <c r="AA22" s="16"/>
      <c r="AB22" s="16"/>
      <c r="AC22">
        <v>186</v>
      </c>
    </row>
    <row r="23" spans="1:35" ht="30" customHeight="1">
      <c r="A23" s="122"/>
      <c r="B23" s="183"/>
      <c r="C23" s="193" t="str">
        <f>"Category D   " &amp; IFERROR(VLOOKUP(H16,AH:AI,2,FALSE),"")</f>
        <v xml:space="preserve">Category D   </v>
      </c>
      <c r="D23" s="192"/>
      <c r="E23" s="501"/>
      <c r="F23" s="501"/>
      <c r="G23" s="501"/>
      <c r="H23" s="501"/>
      <c r="I23" s="506"/>
      <c r="J23" s="506"/>
      <c r="K23" s="506"/>
      <c r="L23" s="506"/>
      <c r="M23" s="540"/>
      <c r="N23" s="558"/>
      <c r="O23" s="573"/>
      <c r="P23" s="530"/>
      <c r="Q23" s="540"/>
      <c r="R23" s="558"/>
      <c r="S23" s="573"/>
      <c r="T23" s="530"/>
      <c r="U23" s="648"/>
      <c r="V23" s="656"/>
      <c r="W23" s="656"/>
      <c r="X23" s="16"/>
      <c r="Y23" s="16"/>
      <c r="Z23" s="16"/>
      <c r="AA23" s="16"/>
      <c r="AB23" s="16"/>
      <c r="AC23">
        <v>193</v>
      </c>
    </row>
    <row r="24" spans="1:35" ht="22.5" customHeight="1">
      <c r="A24" s="115">
        <v>6.2</v>
      </c>
      <c r="B24" s="126"/>
      <c r="C24" s="128" t="s">
        <v>129</v>
      </c>
      <c r="D24" s="191"/>
      <c r="E24" s="305"/>
      <c r="F24" s="305"/>
      <c r="G24" s="305"/>
      <c r="H24" s="305"/>
      <c r="I24" s="150"/>
      <c r="J24" s="126"/>
      <c r="K24" s="126"/>
      <c r="L24" s="126"/>
      <c r="M24" s="126"/>
      <c r="N24" s="126"/>
      <c r="O24" s="126"/>
      <c r="P24" s="126"/>
      <c r="Q24" s="126"/>
      <c r="R24" s="126"/>
      <c r="S24" s="126"/>
      <c r="T24" s="126"/>
      <c r="U24" s="127"/>
      <c r="V24" s="127"/>
      <c r="W24" s="127"/>
      <c r="X24" s="16"/>
      <c r="Y24" s="16"/>
      <c r="Z24" s="16"/>
      <c r="AA24" s="16"/>
      <c r="AB24" s="16"/>
      <c r="AC24">
        <v>198</v>
      </c>
    </row>
    <row r="25" spans="1:35" ht="22.5" customHeight="1">
      <c r="A25" s="120" t="s">
        <v>130</v>
      </c>
      <c r="B25" s="139"/>
      <c r="C25" s="161" t="s">
        <v>544</v>
      </c>
      <c r="D25" s="351"/>
      <c r="E25" s="501" t="str">
        <f>IF(Q25&lt;&gt;"",Q25,"")</f>
        <v/>
      </c>
      <c r="F25" s="501" t="str">
        <f>IF(R25&lt;&gt;"",R25,"")</f>
        <v/>
      </c>
      <c r="G25" s="501" t="str">
        <f>IF(S25&lt;&gt;"",S25,"")</f>
        <v/>
      </c>
      <c r="H25" s="501" t="str">
        <f>IF(T25&lt;&gt;"",T25,"")</f>
        <v/>
      </c>
      <c r="I25" s="506" t="str">
        <f>IF(Q25="NA","NA",IF(AND(Q25&lt;&gt;"",OR(Q25="NS",Q25&gt;=0)),1,"-"))</f>
        <v>-</v>
      </c>
      <c r="J25" s="506" t="str">
        <f>IF(R25="NA","NA",IF(AND(R25&lt;&gt;"",OR(R25="NS",R25&gt;=0)),1,"-"))</f>
        <v>-</v>
      </c>
      <c r="K25" s="506" t="str">
        <f>IF(S25="NA","NA",IF(AND(S25&lt;&gt;"",OR(S25="NS",S25&gt;=0)),1,"-"))</f>
        <v>-</v>
      </c>
      <c r="L25" s="506" t="str">
        <f>IF(T25="NA","NA",IF(AND(T25&lt;&gt;"",OR(T25="NS",T25&gt;=0)),1,"-"))</f>
        <v>-</v>
      </c>
      <c r="M25" s="540"/>
      <c r="N25" s="558"/>
      <c r="O25" s="573"/>
      <c r="P25" s="530"/>
      <c r="Q25" s="540"/>
      <c r="R25" s="558"/>
      <c r="S25" s="573"/>
      <c r="T25" s="530"/>
      <c r="U25" s="646"/>
      <c r="V25" s="654" t="e">
        <f>IF(COUNTIF(Q25:T32,"NA")/COUNTA(Q25:T32)=1,"NA","")</f>
        <v>#DIV/0!</v>
      </c>
      <c r="W25" s="654" t="str">
        <f>IF(COUNTIF(Q25:T32,0)&gt;0,0,"")</f>
        <v/>
      </c>
      <c r="X25" s="16"/>
      <c r="Y25" s="16"/>
      <c r="Z25" s="16"/>
      <c r="AA25" s="16"/>
      <c r="AB25" s="16"/>
      <c r="AC25">
        <v>207</v>
      </c>
      <c r="AI25" s="18"/>
    </row>
    <row r="26" spans="1:35" ht="25.5">
      <c r="A26" s="379" t="s">
        <v>182</v>
      </c>
      <c r="B26" s="82"/>
      <c r="C26" s="60" t="s">
        <v>545</v>
      </c>
      <c r="D26" s="92"/>
      <c r="E26" s="501"/>
      <c r="F26" s="501"/>
      <c r="G26" s="501"/>
      <c r="H26" s="501"/>
      <c r="I26" s="506"/>
      <c r="J26" s="506"/>
      <c r="K26" s="506"/>
      <c r="L26" s="506"/>
      <c r="M26" s="540"/>
      <c r="N26" s="558"/>
      <c r="O26" s="573"/>
      <c r="P26" s="530"/>
      <c r="Q26" s="540"/>
      <c r="R26" s="558"/>
      <c r="S26" s="573"/>
      <c r="T26" s="530"/>
      <c r="U26" s="647"/>
      <c r="V26" s="655"/>
      <c r="W26" s="655"/>
      <c r="X26" s="16"/>
      <c r="Y26" s="16"/>
      <c r="Z26" s="16"/>
      <c r="AA26" s="16"/>
      <c r="AB26" s="16"/>
      <c r="AC26">
        <v>25</v>
      </c>
    </row>
    <row r="27" spans="1:35">
      <c r="A27" s="121"/>
      <c r="B27" s="82"/>
      <c r="C27" s="60"/>
      <c r="D27" s="92"/>
      <c r="E27" s="501"/>
      <c r="F27" s="501"/>
      <c r="G27" s="501"/>
      <c r="H27" s="501"/>
      <c r="I27" s="506"/>
      <c r="J27" s="506"/>
      <c r="K27" s="506"/>
      <c r="L27" s="506"/>
      <c r="M27" s="540"/>
      <c r="N27" s="558"/>
      <c r="O27" s="573"/>
      <c r="P27" s="530"/>
      <c r="Q27" s="540"/>
      <c r="R27" s="558"/>
      <c r="S27" s="573"/>
      <c r="T27" s="530"/>
      <c r="U27" s="647"/>
      <c r="V27" s="655"/>
      <c r="W27" s="655"/>
      <c r="X27" s="16"/>
      <c r="Y27" s="16"/>
      <c r="Z27" s="16"/>
      <c r="AA27" s="16"/>
      <c r="AB27" s="16"/>
      <c r="AC27">
        <v>222</v>
      </c>
    </row>
    <row r="28" spans="1:35">
      <c r="A28" s="121"/>
      <c r="B28" s="82"/>
      <c r="C28" s="224" t="s">
        <v>430</v>
      </c>
      <c r="D28" s="92"/>
      <c r="E28" s="501"/>
      <c r="F28" s="501"/>
      <c r="G28" s="501"/>
      <c r="H28" s="501"/>
      <c r="I28" s="506"/>
      <c r="J28" s="506"/>
      <c r="K28" s="506"/>
      <c r="L28" s="506"/>
      <c r="M28" s="540"/>
      <c r="N28" s="558"/>
      <c r="O28" s="573"/>
      <c r="P28" s="530"/>
      <c r="Q28" s="540"/>
      <c r="R28" s="558"/>
      <c r="S28" s="573"/>
      <c r="T28" s="530"/>
      <c r="U28" s="647"/>
      <c r="V28" s="655"/>
      <c r="W28" s="655"/>
      <c r="X28" s="16"/>
      <c r="Y28" s="16"/>
      <c r="Z28" s="16"/>
      <c r="AA28" s="16"/>
      <c r="AB28" s="16"/>
      <c r="AC28">
        <v>227</v>
      </c>
    </row>
    <row r="29" spans="1:35" ht="30" customHeight="1">
      <c r="A29" s="121"/>
      <c r="B29" s="82"/>
      <c r="C29" s="65" t="str">
        <f>"Category A   " &amp; IFERROR(VLOOKUP(E25,AH:AI,2,FALSE),"")</f>
        <v xml:space="preserve">Category A   </v>
      </c>
      <c r="D29" s="92"/>
      <c r="E29" s="501"/>
      <c r="F29" s="501"/>
      <c r="G29" s="501"/>
      <c r="H29" s="501"/>
      <c r="I29" s="506"/>
      <c r="J29" s="506"/>
      <c r="K29" s="506"/>
      <c r="L29" s="506"/>
      <c r="M29" s="540"/>
      <c r="N29" s="558"/>
      <c r="O29" s="573"/>
      <c r="P29" s="530"/>
      <c r="Q29" s="540"/>
      <c r="R29" s="558"/>
      <c r="S29" s="573"/>
      <c r="T29" s="530"/>
      <c r="U29" s="647"/>
      <c r="V29" s="655"/>
      <c r="W29" s="655"/>
      <c r="X29" s="16"/>
      <c r="Y29" s="16"/>
      <c r="Z29" s="16"/>
      <c r="AA29" s="16"/>
      <c r="AB29" s="16"/>
      <c r="AC29">
        <v>235</v>
      </c>
    </row>
    <row r="30" spans="1:35" ht="30" customHeight="1">
      <c r="A30" s="121"/>
      <c r="B30" s="82"/>
      <c r="C30" s="65" t="str">
        <f>"Category B   " &amp; IFERROR(VLOOKUP(F25,AH:AI,2,FALSE),"")</f>
        <v xml:space="preserve">Category B   </v>
      </c>
      <c r="D30" s="92"/>
      <c r="E30" s="501"/>
      <c r="F30" s="501"/>
      <c r="G30" s="501"/>
      <c r="H30" s="501"/>
      <c r="I30" s="506"/>
      <c r="J30" s="506"/>
      <c r="K30" s="506"/>
      <c r="L30" s="506"/>
      <c r="M30" s="540"/>
      <c r="N30" s="558"/>
      <c r="O30" s="573"/>
      <c r="P30" s="530"/>
      <c r="Q30" s="540"/>
      <c r="R30" s="558"/>
      <c r="S30" s="573"/>
      <c r="T30" s="530"/>
      <c r="U30" s="647"/>
      <c r="V30" s="655"/>
      <c r="W30" s="655"/>
      <c r="X30" s="16"/>
      <c r="Y30" s="16"/>
      <c r="Z30" s="16"/>
      <c r="AA30" s="16"/>
      <c r="AB30" s="16"/>
      <c r="AC30">
        <v>244</v>
      </c>
    </row>
    <row r="31" spans="1:35" ht="30" customHeight="1">
      <c r="A31" s="121"/>
      <c r="B31" s="82"/>
      <c r="C31" s="65" t="str">
        <f>"Category C   " &amp; IFERROR(VLOOKUP(G25,AH:AI,2,FALSE),"")</f>
        <v xml:space="preserve">Category C   </v>
      </c>
      <c r="D31" s="92"/>
      <c r="E31" s="501"/>
      <c r="F31" s="501"/>
      <c r="G31" s="501"/>
      <c r="H31" s="501"/>
      <c r="I31" s="506"/>
      <c r="J31" s="506"/>
      <c r="K31" s="506"/>
      <c r="L31" s="506"/>
      <c r="M31" s="540"/>
      <c r="N31" s="558"/>
      <c r="O31" s="573"/>
      <c r="P31" s="530"/>
      <c r="Q31" s="540"/>
      <c r="R31" s="558"/>
      <c r="S31" s="573"/>
      <c r="T31" s="530"/>
      <c r="U31" s="647"/>
      <c r="V31" s="655"/>
      <c r="W31" s="655"/>
      <c r="X31" s="16"/>
      <c r="Y31" s="16"/>
      <c r="Z31" s="16"/>
      <c r="AA31" s="16"/>
      <c r="AB31" s="16"/>
      <c r="AC31">
        <v>253</v>
      </c>
    </row>
    <row r="32" spans="1:35" ht="30" customHeight="1">
      <c r="A32" s="122"/>
      <c r="B32" s="183"/>
      <c r="C32" s="193" t="str">
        <f>"Category D   " &amp; IFERROR(VLOOKUP(H25,AH:AI,2,FALSE),"")</f>
        <v xml:space="preserve">Category D   </v>
      </c>
      <c r="D32" s="192"/>
      <c r="E32" s="501"/>
      <c r="F32" s="501"/>
      <c r="G32" s="501"/>
      <c r="H32" s="501"/>
      <c r="I32" s="506"/>
      <c r="J32" s="506"/>
      <c r="K32" s="506"/>
      <c r="L32" s="506"/>
      <c r="M32" s="540"/>
      <c r="N32" s="558"/>
      <c r="O32" s="573"/>
      <c r="P32" s="530"/>
      <c r="Q32" s="540"/>
      <c r="R32" s="558"/>
      <c r="S32" s="573"/>
      <c r="T32" s="530"/>
      <c r="U32" s="648"/>
      <c r="V32" s="656"/>
      <c r="W32" s="656"/>
      <c r="X32" s="16"/>
      <c r="Y32" s="16"/>
      <c r="Z32" s="16"/>
      <c r="AA32" s="16"/>
      <c r="AB32" s="16"/>
      <c r="AC32">
        <v>261</v>
      </c>
    </row>
    <row r="33" spans="1:29" ht="22.5" customHeight="1">
      <c r="A33" s="120" t="s">
        <v>131</v>
      </c>
      <c r="B33" s="139"/>
      <c r="C33" s="161" t="s">
        <v>295</v>
      </c>
      <c r="D33" s="351"/>
      <c r="E33" s="501" t="str">
        <f>IF(Q33&lt;&gt;"",Q33,"")</f>
        <v/>
      </c>
      <c r="F33" s="501" t="str">
        <f>IF(R33&lt;&gt;"",R33,"")</f>
        <v/>
      </c>
      <c r="G33" s="501" t="str">
        <f>IF(S33&lt;&gt;"",S33,"")</f>
        <v/>
      </c>
      <c r="H33" s="501" t="str">
        <f>IF(T33&lt;&gt;"",T33,"")</f>
        <v/>
      </c>
      <c r="I33" s="506" t="str">
        <f>IF(Q33="NA","NA",IF(AND(Q33&lt;&gt;"",OR(Q33="NS",Q33&gt;=0)),1,"-"))</f>
        <v>-</v>
      </c>
      <c r="J33" s="506" t="str">
        <f>IF(R33="NA","NA",IF(AND(R33&lt;&gt;"",OR(R33="NS",R33&gt;=0)),1,"-"))</f>
        <v>-</v>
      </c>
      <c r="K33" s="506" t="str">
        <f>IF(S33="NA","NA",IF(AND(S33&lt;&gt;"",OR(S33="NS",S33&gt;=0)),1,"-"))</f>
        <v>-</v>
      </c>
      <c r="L33" s="506" t="str">
        <f>IF(T33="NA","NA",IF(AND(T33&lt;&gt;"",OR(T33="NS",T33&gt;=0)),1,"-"))</f>
        <v>-</v>
      </c>
      <c r="M33" s="540"/>
      <c r="N33" s="558"/>
      <c r="O33" s="573"/>
      <c r="P33" s="530"/>
      <c r="Q33" s="540"/>
      <c r="R33" s="558"/>
      <c r="S33" s="573"/>
      <c r="T33" s="530"/>
      <c r="U33" s="646" t="s">
        <v>132</v>
      </c>
      <c r="V33" s="654" t="e">
        <f>IF(COUNTIF(Q33:T40,"NA")/COUNTA(Q33:T40)=1,"NA","")</f>
        <v>#DIV/0!</v>
      </c>
      <c r="W33" s="654" t="str">
        <f>IF(COUNTIF(Q33:T40,0)&gt;0,0,"")</f>
        <v/>
      </c>
      <c r="X33" s="16"/>
      <c r="Y33" s="16"/>
      <c r="Z33" s="16"/>
      <c r="AA33" s="16"/>
      <c r="AB33" s="16"/>
      <c r="AC33" s="16"/>
    </row>
    <row r="34" spans="1:29" ht="38.25">
      <c r="A34" s="379" t="s">
        <v>182</v>
      </c>
      <c r="B34" s="82"/>
      <c r="C34" s="60" t="s">
        <v>546</v>
      </c>
      <c r="D34" s="92"/>
      <c r="E34" s="501"/>
      <c r="F34" s="501"/>
      <c r="G34" s="501"/>
      <c r="H34" s="501"/>
      <c r="I34" s="506"/>
      <c r="J34" s="506"/>
      <c r="K34" s="506"/>
      <c r="L34" s="506"/>
      <c r="M34" s="540"/>
      <c r="N34" s="558"/>
      <c r="O34" s="573"/>
      <c r="P34" s="530"/>
      <c r="Q34" s="540"/>
      <c r="R34" s="558"/>
      <c r="S34" s="573"/>
      <c r="T34" s="530"/>
      <c r="U34" s="647"/>
      <c r="V34" s="655"/>
      <c r="W34" s="655"/>
      <c r="X34" s="16"/>
      <c r="Y34" s="16"/>
      <c r="Z34" s="16"/>
      <c r="AA34" s="16"/>
      <c r="AB34" s="16"/>
      <c r="AC34" s="16"/>
    </row>
    <row r="35" spans="1:29">
      <c r="A35" s="121"/>
      <c r="B35" s="82"/>
      <c r="C35" s="60"/>
      <c r="D35" s="92"/>
      <c r="E35" s="501"/>
      <c r="F35" s="501"/>
      <c r="G35" s="501"/>
      <c r="H35" s="501"/>
      <c r="I35" s="506"/>
      <c r="J35" s="506"/>
      <c r="K35" s="506"/>
      <c r="L35" s="506"/>
      <c r="M35" s="540"/>
      <c r="N35" s="558"/>
      <c r="O35" s="573"/>
      <c r="P35" s="530"/>
      <c r="Q35" s="540"/>
      <c r="R35" s="558"/>
      <c r="S35" s="573"/>
      <c r="T35" s="530"/>
      <c r="U35" s="647"/>
      <c r="V35" s="655"/>
      <c r="W35" s="655"/>
      <c r="X35" s="16"/>
      <c r="Y35" s="16"/>
      <c r="Z35" s="16"/>
      <c r="AA35" s="16"/>
      <c r="AB35" s="16"/>
      <c r="AC35" s="16"/>
    </row>
    <row r="36" spans="1:29">
      <c r="A36" s="121"/>
      <c r="B36" s="82"/>
      <c r="C36" s="224" t="s">
        <v>430</v>
      </c>
      <c r="D36" s="92"/>
      <c r="E36" s="501"/>
      <c r="F36" s="501"/>
      <c r="G36" s="501"/>
      <c r="H36" s="501"/>
      <c r="I36" s="506"/>
      <c r="J36" s="506"/>
      <c r="K36" s="506"/>
      <c r="L36" s="506"/>
      <c r="M36" s="540"/>
      <c r="N36" s="558"/>
      <c r="O36" s="573"/>
      <c r="P36" s="530"/>
      <c r="Q36" s="540"/>
      <c r="R36" s="558"/>
      <c r="S36" s="573"/>
      <c r="T36" s="530"/>
      <c r="U36" s="647"/>
      <c r="V36" s="655"/>
      <c r="W36" s="655"/>
      <c r="X36" s="16"/>
      <c r="Y36" s="16"/>
      <c r="Z36" s="16"/>
      <c r="AA36" s="16"/>
      <c r="AB36" s="16"/>
      <c r="AC36" s="16"/>
    </row>
    <row r="37" spans="1:29" ht="30" customHeight="1">
      <c r="A37" s="121"/>
      <c r="B37" s="82"/>
      <c r="C37" s="65" t="str">
        <f>"Category A   " &amp; IFERROR(VLOOKUP(E33,AH:AI,2,FALSE),"")</f>
        <v xml:space="preserve">Category A   </v>
      </c>
      <c r="D37" s="92"/>
      <c r="E37" s="501"/>
      <c r="F37" s="501"/>
      <c r="G37" s="501"/>
      <c r="H37" s="501"/>
      <c r="I37" s="506"/>
      <c r="J37" s="506"/>
      <c r="K37" s="506"/>
      <c r="L37" s="506"/>
      <c r="M37" s="540"/>
      <c r="N37" s="558"/>
      <c r="O37" s="573"/>
      <c r="P37" s="530"/>
      <c r="Q37" s="540"/>
      <c r="R37" s="558"/>
      <c r="S37" s="573"/>
      <c r="T37" s="530"/>
      <c r="U37" s="647"/>
      <c r="V37" s="655"/>
      <c r="W37" s="655"/>
      <c r="X37" s="16"/>
      <c r="Y37" s="16"/>
      <c r="Z37" s="16"/>
      <c r="AA37" s="16"/>
      <c r="AB37" s="16"/>
      <c r="AC37" s="16"/>
    </row>
    <row r="38" spans="1:29" ht="30" customHeight="1">
      <c r="A38" s="121"/>
      <c r="B38" s="82"/>
      <c r="C38" s="65" t="str">
        <f>"Category B   " &amp; IFERROR(VLOOKUP(F33,AH:AI,2,FALSE),"")</f>
        <v xml:space="preserve">Category B   </v>
      </c>
      <c r="D38" s="92"/>
      <c r="E38" s="501"/>
      <c r="F38" s="501"/>
      <c r="G38" s="501"/>
      <c r="H38" s="501"/>
      <c r="I38" s="506"/>
      <c r="J38" s="506"/>
      <c r="K38" s="506"/>
      <c r="L38" s="506"/>
      <c r="M38" s="540"/>
      <c r="N38" s="558"/>
      <c r="O38" s="573"/>
      <c r="P38" s="530"/>
      <c r="Q38" s="540"/>
      <c r="R38" s="558"/>
      <c r="S38" s="573"/>
      <c r="T38" s="530"/>
      <c r="U38" s="647"/>
      <c r="V38" s="655"/>
      <c r="W38" s="655"/>
      <c r="X38" s="16"/>
      <c r="Y38" s="16"/>
      <c r="Z38" s="16"/>
      <c r="AA38" s="16"/>
      <c r="AB38" s="16"/>
      <c r="AC38" s="16"/>
    </row>
    <row r="39" spans="1:29" ht="30" customHeight="1">
      <c r="A39" s="121"/>
      <c r="B39" s="82"/>
      <c r="C39" s="65" t="str">
        <f>"Category C   " &amp; IFERROR(VLOOKUP(G33,AH:AI,2,FALSE),"")</f>
        <v xml:space="preserve">Category C   </v>
      </c>
      <c r="D39" s="92"/>
      <c r="E39" s="501"/>
      <c r="F39" s="501"/>
      <c r="G39" s="501"/>
      <c r="H39" s="501"/>
      <c r="I39" s="506"/>
      <c r="J39" s="506"/>
      <c r="K39" s="506"/>
      <c r="L39" s="506"/>
      <c r="M39" s="540"/>
      <c r="N39" s="558"/>
      <c r="O39" s="573"/>
      <c r="P39" s="530"/>
      <c r="Q39" s="540"/>
      <c r="R39" s="558"/>
      <c r="S39" s="573"/>
      <c r="T39" s="530"/>
      <c r="U39" s="647"/>
      <c r="V39" s="655"/>
      <c r="W39" s="655"/>
      <c r="X39" s="16"/>
      <c r="Y39" s="16"/>
      <c r="Z39" s="16"/>
      <c r="AA39" s="16"/>
      <c r="AB39" s="16"/>
      <c r="AC39" s="16"/>
    </row>
    <row r="40" spans="1:29" ht="30" customHeight="1">
      <c r="A40" s="122"/>
      <c r="B40" s="183"/>
      <c r="C40" s="193" t="str">
        <f>"Category D   " &amp; IFERROR(VLOOKUP(H33,AH:AI,2,FALSE),"")</f>
        <v xml:space="preserve">Category D   </v>
      </c>
      <c r="D40" s="192"/>
      <c r="E40" s="501"/>
      <c r="F40" s="501"/>
      <c r="G40" s="501"/>
      <c r="H40" s="501"/>
      <c r="I40" s="506"/>
      <c r="J40" s="506"/>
      <c r="K40" s="506"/>
      <c r="L40" s="506"/>
      <c r="M40" s="540"/>
      <c r="N40" s="558"/>
      <c r="O40" s="573"/>
      <c r="P40" s="530"/>
      <c r="Q40" s="540"/>
      <c r="R40" s="558"/>
      <c r="S40" s="573"/>
      <c r="T40" s="530"/>
      <c r="U40" s="648"/>
      <c r="V40" s="656"/>
      <c r="W40" s="656"/>
      <c r="X40" s="16"/>
      <c r="Y40" s="16"/>
      <c r="Z40" s="16"/>
      <c r="AA40" s="16"/>
      <c r="AB40" s="16"/>
      <c r="AC40" s="16"/>
    </row>
    <row r="41" spans="1:29" ht="22.5" customHeight="1">
      <c r="A41" s="120" t="s">
        <v>133</v>
      </c>
      <c r="B41" s="139"/>
      <c r="C41" s="161" t="s">
        <v>296</v>
      </c>
      <c r="D41" s="351"/>
      <c r="E41" s="501" t="str">
        <f>IF(Q41&lt;&gt;"",Q41,"")</f>
        <v/>
      </c>
      <c r="F41" s="501" t="str">
        <f>IF(R41&lt;&gt;"",R41,"")</f>
        <v/>
      </c>
      <c r="G41" s="501" t="str">
        <f>IF(S41&lt;&gt;"",S41,"")</f>
        <v/>
      </c>
      <c r="H41" s="501" t="str">
        <f>IF(T41&lt;&gt;"",T41,"")</f>
        <v/>
      </c>
      <c r="I41" s="506" t="str">
        <f>IF(Q41="NA","NA",IF(AND(Q41&lt;&gt;"",OR(Q41="NS",Q41&gt;=0)),1,"-"))</f>
        <v>-</v>
      </c>
      <c r="J41" s="506" t="str">
        <f>IF(R41="NA","NA",IF(AND(R41&lt;&gt;"",OR(R41="NS",R41&gt;=0)),1,"-"))</f>
        <v>-</v>
      </c>
      <c r="K41" s="506" t="str">
        <f>IF(S41="NA","NA",IF(AND(S41&lt;&gt;"",OR(S41="NS",S41&gt;=0)),1,"-"))</f>
        <v>-</v>
      </c>
      <c r="L41" s="506" t="str">
        <f>IF(T41="NA","NA",IF(AND(T41&lt;&gt;"",OR(T41="NS",T41&gt;=0)),1,"-"))</f>
        <v>-</v>
      </c>
      <c r="M41" s="540"/>
      <c r="N41" s="558"/>
      <c r="O41" s="573"/>
      <c r="P41" s="530"/>
      <c r="Q41" s="540"/>
      <c r="R41" s="558"/>
      <c r="S41" s="573"/>
      <c r="T41" s="530"/>
      <c r="U41" s="646"/>
      <c r="V41" s="654" t="e">
        <f>IF(COUNTIF(Q41:T48,"NA")/COUNTA(Q41:T48)=1,"NA","")</f>
        <v>#DIV/0!</v>
      </c>
      <c r="W41" s="654" t="str">
        <f>IF(COUNTIF(Q41:T48,0)&gt;0,0,"")</f>
        <v/>
      </c>
      <c r="X41" s="16"/>
      <c r="Y41" s="16"/>
      <c r="Z41" s="16"/>
      <c r="AA41" s="16"/>
      <c r="AB41" s="16"/>
      <c r="AC41" s="16"/>
    </row>
    <row r="42" spans="1:29" ht="25.5">
      <c r="A42" s="121" t="s">
        <v>182</v>
      </c>
      <c r="B42" s="82"/>
      <c r="C42" s="60" t="s">
        <v>547</v>
      </c>
      <c r="D42" s="92"/>
      <c r="E42" s="501"/>
      <c r="F42" s="501"/>
      <c r="G42" s="501"/>
      <c r="H42" s="501"/>
      <c r="I42" s="506"/>
      <c r="J42" s="506"/>
      <c r="K42" s="506"/>
      <c r="L42" s="506"/>
      <c r="M42" s="540"/>
      <c r="N42" s="558"/>
      <c r="O42" s="573"/>
      <c r="P42" s="530"/>
      <c r="Q42" s="540"/>
      <c r="R42" s="558"/>
      <c r="S42" s="573"/>
      <c r="T42" s="530"/>
      <c r="U42" s="647"/>
      <c r="V42" s="655"/>
      <c r="W42" s="655"/>
      <c r="X42" s="16"/>
      <c r="Y42" s="16"/>
      <c r="Z42" s="16"/>
      <c r="AA42" s="16"/>
      <c r="AB42" s="16"/>
      <c r="AC42" s="16"/>
    </row>
    <row r="43" spans="1:29">
      <c r="A43" s="121"/>
      <c r="B43" s="82"/>
      <c r="C43" s="60"/>
      <c r="D43" s="92"/>
      <c r="E43" s="501"/>
      <c r="F43" s="501"/>
      <c r="G43" s="501"/>
      <c r="H43" s="501"/>
      <c r="I43" s="506"/>
      <c r="J43" s="506"/>
      <c r="K43" s="506"/>
      <c r="L43" s="506"/>
      <c r="M43" s="540"/>
      <c r="N43" s="558"/>
      <c r="O43" s="573"/>
      <c r="P43" s="530"/>
      <c r="Q43" s="540"/>
      <c r="R43" s="558"/>
      <c r="S43" s="573"/>
      <c r="T43" s="530"/>
      <c r="U43" s="647"/>
      <c r="V43" s="655"/>
      <c r="W43" s="655"/>
      <c r="X43" s="16"/>
      <c r="Y43" s="16"/>
      <c r="Z43" s="16"/>
      <c r="AA43" s="16"/>
      <c r="AB43" s="16"/>
      <c r="AC43" s="16"/>
    </row>
    <row r="44" spans="1:29">
      <c r="A44" s="121"/>
      <c r="B44" s="82"/>
      <c r="C44" s="224" t="s">
        <v>430</v>
      </c>
      <c r="D44" s="92"/>
      <c r="E44" s="501"/>
      <c r="F44" s="501"/>
      <c r="G44" s="501"/>
      <c r="H44" s="501"/>
      <c r="I44" s="506"/>
      <c r="J44" s="506"/>
      <c r="K44" s="506"/>
      <c r="L44" s="506"/>
      <c r="M44" s="540"/>
      <c r="N44" s="558"/>
      <c r="O44" s="573"/>
      <c r="P44" s="530"/>
      <c r="Q44" s="540"/>
      <c r="R44" s="558"/>
      <c r="S44" s="573"/>
      <c r="T44" s="530"/>
      <c r="U44" s="647"/>
      <c r="V44" s="655"/>
      <c r="W44" s="655"/>
      <c r="X44" s="16"/>
      <c r="Y44" s="16"/>
      <c r="Z44" s="16"/>
      <c r="AA44" s="16"/>
      <c r="AB44" s="16"/>
      <c r="AC44" s="16"/>
    </row>
    <row r="45" spans="1:29" ht="30" customHeight="1">
      <c r="A45" s="121"/>
      <c r="B45" s="82"/>
      <c r="C45" s="65" t="str">
        <f>"Category A   " &amp; IFERROR(VLOOKUP(E41,AH:AI,2,FALSE),"")</f>
        <v xml:space="preserve">Category A   </v>
      </c>
      <c r="D45" s="92"/>
      <c r="E45" s="501"/>
      <c r="F45" s="501"/>
      <c r="G45" s="501"/>
      <c r="H45" s="501"/>
      <c r="I45" s="506"/>
      <c r="J45" s="506"/>
      <c r="K45" s="506"/>
      <c r="L45" s="506"/>
      <c r="M45" s="540"/>
      <c r="N45" s="558"/>
      <c r="O45" s="573"/>
      <c r="P45" s="530"/>
      <c r="Q45" s="540"/>
      <c r="R45" s="558"/>
      <c r="S45" s="573"/>
      <c r="T45" s="530"/>
      <c r="U45" s="647"/>
      <c r="V45" s="655"/>
      <c r="W45" s="655"/>
      <c r="X45" s="16"/>
      <c r="Y45" s="16"/>
      <c r="Z45" s="16"/>
      <c r="AA45" s="16"/>
      <c r="AB45" s="16"/>
      <c r="AC45" s="16"/>
    </row>
    <row r="46" spans="1:29" ht="30" customHeight="1">
      <c r="A46" s="121"/>
      <c r="B46" s="82"/>
      <c r="C46" s="65" t="str">
        <f>"Category B   " &amp; IFERROR(VLOOKUP(F41,AH:AI,2,FALSE),"")</f>
        <v xml:space="preserve">Category B   </v>
      </c>
      <c r="D46" s="92"/>
      <c r="E46" s="501"/>
      <c r="F46" s="501"/>
      <c r="G46" s="501"/>
      <c r="H46" s="501"/>
      <c r="I46" s="506"/>
      <c r="J46" s="506"/>
      <c r="K46" s="506"/>
      <c r="L46" s="506"/>
      <c r="M46" s="540"/>
      <c r="N46" s="558"/>
      <c r="O46" s="573"/>
      <c r="P46" s="530"/>
      <c r="Q46" s="540"/>
      <c r="R46" s="558"/>
      <c r="S46" s="573"/>
      <c r="T46" s="530"/>
      <c r="U46" s="647"/>
      <c r="V46" s="655"/>
      <c r="W46" s="655"/>
      <c r="X46" s="16"/>
      <c r="Y46" s="16"/>
      <c r="Z46" s="16"/>
      <c r="AA46" s="16"/>
      <c r="AB46" s="16"/>
      <c r="AC46" s="16"/>
    </row>
    <row r="47" spans="1:29" ht="30" customHeight="1">
      <c r="A47" s="121"/>
      <c r="B47" s="82"/>
      <c r="C47" s="65" t="str">
        <f>"Category C   " &amp; IFERROR(VLOOKUP(G41,AH:AI,2,FALSE),"")</f>
        <v xml:space="preserve">Category C   </v>
      </c>
      <c r="D47" s="92"/>
      <c r="E47" s="501"/>
      <c r="F47" s="501"/>
      <c r="G47" s="501"/>
      <c r="H47" s="501"/>
      <c r="I47" s="506"/>
      <c r="J47" s="506"/>
      <c r="K47" s="506"/>
      <c r="L47" s="506"/>
      <c r="M47" s="540"/>
      <c r="N47" s="558"/>
      <c r="O47" s="573"/>
      <c r="P47" s="530"/>
      <c r="Q47" s="540"/>
      <c r="R47" s="558"/>
      <c r="S47" s="573"/>
      <c r="T47" s="530"/>
      <c r="U47" s="647"/>
      <c r="V47" s="655"/>
      <c r="W47" s="655"/>
      <c r="X47" s="16"/>
      <c r="Y47" s="16"/>
      <c r="Z47" s="16"/>
      <c r="AA47" s="16"/>
      <c r="AB47" s="16"/>
      <c r="AC47" s="16"/>
    </row>
    <row r="48" spans="1:29" ht="30" customHeight="1">
      <c r="A48" s="122"/>
      <c r="B48" s="183"/>
      <c r="C48" s="193" t="str">
        <f>"Category D   " &amp; IFERROR(VLOOKUP(H41,AH:AI,2,FALSE),"")</f>
        <v xml:space="preserve">Category D   </v>
      </c>
      <c r="D48" s="192"/>
      <c r="E48" s="501"/>
      <c r="F48" s="501"/>
      <c r="G48" s="501"/>
      <c r="H48" s="501"/>
      <c r="I48" s="506"/>
      <c r="J48" s="506"/>
      <c r="K48" s="506"/>
      <c r="L48" s="506"/>
      <c r="M48" s="540"/>
      <c r="N48" s="558"/>
      <c r="O48" s="573"/>
      <c r="P48" s="530"/>
      <c r="Q48" s="540"/>
      <c r="R48" s="558"/>
      <c r="S48" s="573"/>
      <c r="T48" s="530"/>
      <c r="U48" s="648"/>
      <c r="V48" s="656"/>
      <c r="W48" s="656"/>
      <c r="X48" s="16"/>
      <c r="Y48" s="16"/>
      <c r="Z48" s="16"/>
      <c r="AA48" s="16"/>
      <c r="AB48" s="16"/>
      <c r="AC48" s="16"/>
    </row>
    <row r="49" spans="1:29" ht="22.5" customHeight="1">
      <c r="A49" s="115">
        <v>6.3</v>
      </c>
      <c r="B49" s="126"/>
      <c r="C49" s="128" t="s">
        <v>134</v>
      </c>
      <c r="D49" s="128"/>
      <c r="E49" s="500"/>
      <c r="F49" s="500"/>
      <c r="G49" s="500"/>
      <c r="H49" s="500"/>
      <c r="I49" s="150"/>
      <c r="J49" s="126"/>
      <c r="K49" s="126"/>
      <c r="L49" s="126"/>
      <c r="M49" s="126"/>
      <c r="N49" s="126"/>
      <c r="O49" s="126"/>
      <c r="P49" s="126"/>
      <c r="Q49" s="126"/>
      <c r="R49" s="126"/>
      <c r="S49" s="126"/>
      <c r="T49" s="126"/>
      <c r="U49" s="127"/>
      <c r="V49" s="301"/>
      <c r="W49" s="301"/>
      <c r="X49" s="16"/>
      <c r="Y49" s="16"/>
      <c r="Z49" s="16"/>
      <c r="AA49" s="16"/>
      <c r="AB49" s="16"/>
      <c r="AC49" s="16"/>
    </row>
    <row r="50" spans="1:29" ht="22.5" customHeight="1">
      <c r="A50" s="120" t="s">
        <v>458</v>
      </c>
      <c r="B50" s="139"/>
      <c r="C50" s="161" t="s">
        <v>298</v>
      </c>
      <c r="D50" s="351"/>
      <c r="E50" s="501" t="str">
        <f>IF(Q50&lt;&gt;"",Q50,"")</f>
        <v/>
      </c>
      <c r="F50" s="501" t="str">
        <f>IF(R50&lt;&gt;"",R50,"")</f>
        <v/>
      </c>
      <c r="G50" s="501" t="str">
        <f>IF(S50&lt;&gt;"",S50,"")</f>
        <v/>
      </c>
      <c r="H50" s="501" t="str">
        <f>IF(T50&lt;&gt;"",T50,"")</f>
        <v/>
      </c>
      <c r="I50" s="506" t="str">
        <f>IF(Q50="NA","NA",IF(AND(Q50&lt;&gt;"",OR(Q50="NS",Q50&gt;=0)),1,"-"))</f>
        <v>-</v>
      </c>
      <c r="J50" s="506" t="str">
        <f>IF(R50="NA","NA",IF(AND(R50&lt;&gt;"",OR(R50="NS",R50&gt;=0)),1,"-"))</f>
        <v>-</v>
      </c>
      <c r="K50" s="506" t="str">
        <f>IF(S50="NA","NA",IF(AND(S50&lt;&gt;"",OR(S50="NS",S50&gt;=0)),1,"-"))</f>
        <v>-</v>
      </c>
      <c r="L50" s="506" t="str">
        <f>IF(T50="NA","NA",IF(AND(T50&lt;&gt;"",OR(T50="NS",T50&gt;=0)),1,"-"))</f>
        <v>-</v>
      </c>
      <c r="M50" s="540"/>
      <c r="N50" s="558"/>
      <c r="O50" s="573"/>
      <c r="P50" s="530"/>
      <c r="Q50" s="540"/>
      <c r="R50" s="558"/>
      <c r="S50" s="573"/>
      <c r="T50" s="530"/>
      <c r="U50" s="646" t="s">
        <v>419</v>
      </c>
      <c r="V50" s="661" t="e">
        <f>IF(COUNTIF(Q50:T58,"NA")/COUNTA(Q50:T58)=1,"NA","")</f>
        <v>#DIV/0!</v>
      </c>
      <c r="W50" s="661" t="str">
        <f>IF(COUNTIF(Q50:T58,0)&gt;0,0,"")</f>
        <v/>
      </c>
      <c r="X50" s="16"/>
      <c r="Y50" s="16"/>
      <c r="Z50" s="16"/>
      <c r="AA50" s="16"/>
      <c r="AB50" s="16"/>
      <c r="AC50" s="16"/>
    </row>
    <row r="51" spans="1:29" ht="22.5" customHeight="1">
      <c r="A51" s="124" t="s">
        <v>297</v>
      </c>
      <c r="B51" s="82"/>
      <c r="C51" s="86" t="s">
        <v>299</v>
      </c>
      <c r="D51" s="92"/>
      <c r="E51" s="501"/>
      <c r="F51" s="501"/>
      <c r="G51" s="501"/>
      <c r="H51" s="501"/>
      <c r="I51" s="506"/>
      <c r="J51" s="506"/>
      <c r="K51" s="506"/>
      <c r="L51" s="506"/>
      <c r="M51" s="540"/>
      <c r="N51" s="558"/>
      <c r="O51" s="573"/>
      <c r="P51" s="530"/>
      <c r="Q51" s="540"/>
      <c r="R51" s="558"/>
      <c r="S51" s="573"/>
      <c r="T51" s="530"/>
      <c r="U51" s="647"/>
      <c r="V51" s="662"/>
      <c r="W51" s="662"/>
      <c r="X51" s="16"/>
      <c r="Y51" s="16"/>
      <c r="Z51" s="16"/>
      <c r="AA51" s="16"/>
      <c r="AB51" s="16"/>
      <c r="AC51" s="16"/>
    </row>
    <row r="52" spans="1:29" ht="25.5">
      <c r="A52" s="123" t="s">
        <v>182</v>
      </c>
      <c r="B52" s="61"/>
      <c r="C52" s="60" t="s">
        <v>300</v>
      </c>
      <c r="D52" s="92"/>
      <c r="E52" s="501"/>
      <c r="F52" s="501"/>
      <c r="G52" s="501"/>
      <c r="H52" s="501"/>
      <c r="I52" s="506"/>
      <c r="J52" s="506"/>
      <c r="K52" s="506"/>
      <c r="L52" s="506"/>
      <c r="M52" s="540"/>
      <c r="N52" s="558"/>
      <c r="O52" s="573"/>
      <c r="P52" s="530"/>
      <c r="Q52" s="540"/>
      <c r="R52" s="558"/>
      <c r="S52" s="573"/>
      <c r="T52" s="530"/>
      <c r="U52" s="647"/>
      <c r="V52" s="662"/>
      <c r="W52" s="662"/>
      <c r="X52" s="16"/>
      <c r="Y52" s="16"/>
      <c r="Z52" s="16"/>
      <c r="AA52" s="16"/>
      <c r="AB52" s="16"/>
      <c r="AC52" s="16"/>
    </row>
    <row r="53" spans="1:29">
      <c r="A53" s="123"/>
      <c r="B53" s="61"/>
      <c r="C53" s="60"/>
      <c r="D53" s="92"/>
      <c r="E53" s="501"/>
      <c r="F53" s="501"/>
      <c r="G53" s="501"/>
      <c r="H53" s="501"/>
      <c r="I53" s="506"/>
      <c r="J53" s="506"/>
      <c r="K53" s="506"/>
      <c r="L53" s="506"/>
      <c r="M53" s="540"/>
      <c r="N53" s="558"/>
      <c r="O53" s="573"/>
      <c r="P53" s="530"/>
      <c r="Q53" s="540"/>
      <c r="R53" s="558"/>
      <c r="S53" s="573"/>
      <c r="T53" s="530"/>
      <c r="U53" s="647"/>
      <c r="V53" s="662"/>
      <c r="W53" s="662"/>
      <c r="X53" s="16"/>
      <c r="Y53" s="16"/>
      <c r="Z53" s="16"/>
      <c r="AA53" s="16"/>
      <c r="AB53" s="16"/>
      <c r="AC53" s="16"/>
    </row>
    <row r="54" spans="1:29">
      <c r="A54" s="121"/>
      <c r="B54" s="82"/>
      <c r="C54" s="224" t="s">
        <v>430</v>
      </c>
      <c r="D54" s="92"/>
      <c r="E54" s="501"/>
      <c r="F54" s="501"/>
      <c r="G54" s="501"/>
      <c r="H54" s="501"/>
      <c r="I54" s="506"/>
      <c r="J54" s="506"/>
      <c r="K54" s="506"/>
      <c r="L54" s="506"/>
      <c r="M54" s="540"/>
      <c r="N54" s="558"/>
      <c r="O54" s="573"/>
      <c r="P54" s="530"/>
      <c r="Q54" s="540"/>
      <c r="R54" s="558"/>
      <c r="S54" s="573"/>
      <c r="T54" s="530"/>
      <c r="U54" s="647"/>
      <c r="V54" s="662"/>
      <c r="W54" s="662"/>
      <c r="X54" s="16"/>
      <c r="Y54" s="16"/>
      <c r="Z54" s="16"/>
      <c r="AA54" s="16"/>
      <c r="AB54" s="16"/>
      <c r="AC54" s="16"/>
    </row>
    <row r="55" spans="1:29" ht="30" customHeight="1">
      <c r="A55" s="121"/>
      <c r="B55" s="82"/>
      <c r="C55" s="65" t="str">
        <f>"Category A   " &amp; IFERROR(VLOOKUP(E50,AH:AI,2,FALSE),"")</f>
        <v xml:space="preserve">Category A   </v>
      </c>
      <c r="D55" s="92"/>
      <c r="E55" s="501"/>
      <c r="F55" s="501"/>
      <c r="G55" s="501"/>
      <c r="H55" s="501"/>
      <c r="I55" s="506"/>
      <c r="J55" s="506"/>
      <c r="K55" s="506"/>
      <c r="L55" s="506"/>
      <c r="M55" s="540"/>
      <c r="N55" s="558"/>
      <c r="O55" s="573"/>
      <c r="P55" s="530"/>
      <c r="Q55" s="540"/>
      <c r="R55" s="558"/>
      <c r="S55" s="573"/>
      <c r="T55" s="530"/>
      <c r="U55" s="647"/>
      <c r="V55" s="662"/>
      <c r="W55" s="662"/>
      <c r="X55" s="16"/>
      <c r="Y55" s="16"/>
      <c r="Z55" s="16"/>
      <c r="AA55" s="16"/>
      <c r="AB55" s="16"/>
      <c r="AC55" s="16"/>
    </row>
    <row r="56" spans="1:29" ht="30" customHeight="1">
      <c r="A56" s="121"/>
      <c r="B56" s="82"/>
      <c r="C56" s="65" t="str">
        <f>"Category B   " &amp; IFERROR(VLOOKUP(F50,AH:AI,2,FALSE),"")</f>
        <v xml:space="preserve">Category B   </v>
      </c>
      <c r="D56" s="92"/>
      <c r="E56" s="501"/>
      <c r="F56" s="501"/>
      <c r="G56" s="501"/>
      <c r="H56" s="501"/>
      <c r="I56" s="506"/>
      <c r="J56" s="506"/>
      <c r="K56" s="506"/>
      <c r="L56" s="506"/>
      <c r="M56" s="540"/>
      <c r="N56" s="558"/>
      <c r="O56" s="573"/>
      <c r="P56" s="530"/>
      <c r="Q56" s="540"/>
      <c r="R56" s="558"/>
      <c r="S56" s="573"/>
      <c r="T56" s="530"/>
      <c r="U56" s="647"/>
      <c r="V56" s="662"/>
      <c r="W56" s="662"/>
      <c r="X56" s="16"/>
      <c r="Y56" s="16"/>
      <c r="Z56" s="16"/>
      <c r="AA56" s="16"/>
      <c r="AB56" s="16"/>
      <c r="AC56" s="16"/>
    </row>
    <row r="57" spans="1:29" ht="30" customHeight="1">
      <c r="A57" s="121"/>
      <c r="B57" s="82"/>
      <c r="C57" s="65" t="str">
        <f>"Category C   " &amp; IFERROR(VLOOKUP(G50,AH:AI,2,FALSE),"")</f>
        <v xml:space="preserve">Category C   </v>
      </c>
      <c r="D57" s="92"/>
      <c r="E57" s="501"/>
      <c r="F57" s="501"/>
      <c r="G57" s="501"/>
      <c r="H57" s="501"/>
      <c r="I57" s="506"/>
      <c r="J57" s="506"/>
      <c r="K57" s="506"/>
      <c r="L57" s="506"/>
      <c r="M57" s="540"/>
      <c r="N57" s="558"/>
      <c r="O57" s="573"/>
      <c r="P57" s="530"/>
      <c r="Q57" s="540"/>
      <c r="R57" s="558"/>
      <c r="S57" s="573"/>
      <c r="T57" s="530"/>
      <c r="U57" s="647"/>
      <c r="V57" s="662"/>
      <c r="W57" s="662"/>
      <c r="X57" s="16"/>
      <c r="Y57" s="16"/>
      <c r="Z57" s="16"/>
      <c r="AA57" s="16"/>
      <c r="AB57" s="16"/>
      <c r="AC57" s="16"/>
    </row>
    <row r="58" spans="1:29" ht="30" customHeight="1">
      <c r="A58" s="122"/>
      <c r="B58" s="183"/>
      <c r="C58" s="193" t="str">
        <f>"Category D   " &amp; IFERROR(VLOOKUP(H50,AH:AI,2,FALSE),"")</f>
        <v xml:space="preserve">Category D   </v>
      </c>
      <c r="D58" s="192"/>
      <c r="E58" s="501"/>
      <c r="F58" s="501"/>
      <c r="G58" s="501"/>
      <c r="H58" s="501"/>
      <c r="I58" s="506"/>
      <c r="J58" s="506"/>
      <c r="K58" s="506"/>
      <c r="L58" s="506"/>
      <c r="M58" s="540"/>
      <c r="N58" s="558"/>
      <c r="O58" s="573"/>
      <c r="P58" s="530"/>
      <c r="Q58" s="540"/>
      <c r="R58" s="558"/>
      <c r="S58" s="573"/>
      <c r="T58" s="530"/>
      <c r="U58" s="647"/>
      <c r="V58" s="663"/>
      <c r="W58" s="663"/>
      <c r="X58" s="16"/>
      <c r="Y58" s="16"/>
      <c r="Z58" s="16"/>
      <c r="AA58" s="16"/>
      <c r="AB58" s="16"/>
      <c r="AC58" s="16"/>
    </row>
    <row r="59" spans="1:29" ht="22.5" customHeight="1">
      <c r="A59" s="120" t="s">
        <v>301</v>
      </c>
      <c r="B59" s="139"/>
      <c r="C59" s="161" t="s">
        <v>586</v>
      </c>
      <c r="D59" s="351"/>
      <c r="E59" s="501" t="str">
        <f>IF(Q59&lt;&gt;"",Q59,"")</f>
        <v/>
      </c>
      <c r="F59" s="501" t="str">
        <f>IF(R59&lt;&gt;"",R59,"")</f>
        <v/>
      </c>
      <c r="G59" s="501" t="str">
        <f>IF(S59&lt;&gt;"",S59,"")</f>
        <v/>
      </c>
      <c r="H59" s="501" t="str">
        <f>IF(T59&lt;&gt;"",T59,"")</f>
        <v/>
      </c>
      <c r="I59" s="506" t="str">
        <f>IF(Q59="NA","NA",IF(AND(Q59&lt;&gt;"",OR(Q59="NS",Q59&gt;=0)),1,"-"))</f>
        <v>-</v>
      </c>
      <c r="J59" s="506" t="str">
        <f>IF(R59="NA","NA",IF(AND(R59&lt;&gt;"",OR(R59="NS",R59&gt;=0)),1,"-"))</f>
        <v>-</v>
      </c>
      <c r="K59" s="506" t="str">
        <f>IF(S59="NA","NA",IF(AND(S59&lt;&gt;"",OR(S59="NS",S59&gt;=0)),1,"-"))</f>
        <v>-</v>
      </c>
      <c r="L59" s="506" t="str">
        <f>IF(T59="NA","NA",IF(AND(T59&lt;&gt;"",OR(T59="NS",T59&gt;=0)),1,"-"))</f>
        <v>-</v>
      </c>
      <c r="M59" s="540"/>
      <c r="N59" s="558"/>
      <c r="O59" s="573"/>
      <c r="P59" s="530"/>
      <c r="Q59" s="540"/>
      <c r="R59" s="558"/>
      <c r="S59" s="573"/>
      <c r="T59" s="530"/>
      <c r="U59" s="647"/>
      <c r="V59" s="661" t="e">
        <f>IF(COUNTIF(Q59:T66,"NA")/COUNTA(Q59:T66)=1,"NA","")</f>
        <v>#DIV/0!</v>
      </c>
      <c r="W59" s="654" t="str">
        <f>IF(COUNTIF(Q59:T66,0)&gt;0,0,"")</f>
        <v/>
      </c>
      <c r="X59" s="16"/>
      <c r="Y59" s="16"/>
      <c r="Z59" s="16"/>
      <c r="AA59" s="16"/>
      <c r="AB59" s="16"/>
      <c r="AC59" s="16"/>
    </row>
    <row r="60" spans="1:29" ht="25.5">
      <c r="A60" s="379" t="s">
        <v>182</v>
      </c>
      <c r="B60" s="82"/>
      <c r="C60" s="60" t="s">
        <v>548</v>
      </c>
      <c r="D60" s="92"/>
      <c r="E60" s="501"/>
      <c r="F60" s="501"/>
      <c r="G60" s="501"/>
      <c r="H60" s="501"/>
      <c r="I60" s="506"/>
      <c r="J60" s="506"/>
      <c r="K60" s="506"/>
      <c r="L60" s="506"/>
      <c r="M60" s="540"/>
      <c r="N60" s="558"/>
      <c r="O60" s="573"/>
      <c r="P60" s="530"/>
      <c r="Q60" s="540"/>
      <c r="R60" s="558"/>
      <c r="S60" s="573"/>
      <c r="T60" s="530"/>
      <c r="U60" s="647"/>
      <c r="V60" s="662"/>
      <c r="W60" s="655"/>
      <c r="X60" s="16"/>
      <c r="Y60" s="16"/>
      <c r="Z60" s="16"/>
      <c r="AA60" s="16"/>
      <c r="AB60" s="16"/>
      <c r="AC60" s="16"/>
    </row>
    <row r="61" spans="1:29">
      <c r="A61" s="121"/>
      <c r="B61" s="82"/>
      <c r="C61" s="60"/>
      <c r="D61" s="92"/>
      <c r="E61" s="501"/>
      <c r="F61" s="501"/>
      <c r="G61" s="501"/>
      <c r="H61" s="501"/>
      <c r="I61" s="506"/>
      <c r="J61" s="506"/>
      <c r="K61" s="506"/>
      <c r="L61" s="506"/>
      <c r="M61" s="540"/>
      <c r="N61" s="558"/>
      <c r="O61" s="573"/>
      <c r="P61" s="530"/>
      <c r="Q61" s="540"/>
      <c r="R61" s="558"/>
      <c r="S61" s="573"/>
      <c r="T61" s="530"/>
      <c r="U61" s="647"/>
      <c r="V61" s="662"/>
      <c r="W61" s="655"/>
      <c r="X61" s="16"/>
      <c r="Y61" s="16"/>
      <c r="Z61" s="16"/>
      <c r="AA61" s="16"/>
      <c r="AB61" s="16"/>
      <c r="AC61" s="16"/>
    </row>
    <row r="62" spans="1:29">
      <c r="A62" s="121"/>
      <c r="B62" s="82"/>
      <c r="C62" s="224" t="s">
        <v>430</v>
      </c>
      <c r="D62" s="92"/>
      <c r="E62" s="501"/>
      <c r="F62" s="501"/>
      <c r="G62" s="501"/>
      <c r="H62" s="501"/>
      <c r="I62" s="506"/>
      <c r="J62" s="506"/>
      <c r="K62" s="506"/>
      <c r="L62" s="506"/>
      <c r="M62" s="540"/>
      <c r="N62" s="558"/>
      <c r="O62" s="573"/>
      <c r="P62" s="530"/>
      <c r="Q62" s="540"/>
      <c r="R62" s="558"/>
      <c r="S62" s="573"/>
      <c r="T62" s="530"/>
      <c r="U62" s="647"/>
      <c r="V62" s="662"/>
      <c r="W62" s="655"/>
      <c r="X62" s="16"/>
      <c r="Y62" s="16"/>
      <c r="Z62" s="16"/>
      <c r="AA62" s="16"/>
      <c r="AB62" s="16"/>
      <c r="AC62" s="16"/>
    </row>
    <row r="63" spans="1:29" ht="30" customHeight="1">
      <c r="A63" s="121"/>
      <c r="B63" s="82"/>
      <c r="C63" s="65" t="str">
        <f>"Category A   " &amp; IFERROR(VLOOKUP(E59,AH:AI,2,FALSE),"")</f>
        <v xml:space="preserve">Category A   </v>
      </c>
      <c r="D63" s="92"/>
      <c r="E63" s="501"/>
      <c r="F63" s="501"/>
      <c r="G63" s="501"/>
      <c r="H63" s="501"/>
      <c r="I63" s="506"/>
      <c r="J63" s="506"/>
      <c r="K63" s="506"/>
      <c r="L63" s="506"/>
      <c r="M63" s="540"/>
      <c r="N63" s="558"/>
      <c r="O63" s="573"/>
      <c r="P63" s="530"/>
      <c r="Q63" s="540"/>
      <c r="R63" s="558"/>
      <c r="S63" s="573"/>
      <c r="T63" s="530"/>
      <c r="U63" s="647"/>
      <c r="V63" s="662"/>
      <c r="W63" s="655"/>
      <c r="X63" s="16"/>
      <c r="Y63" s="16"/>
      <c r="Z63" s="16"/>
      <c r="AA63" s="16"/>
      <c r="AB63" s="16"/>
      <c r="AC63" s="16"/>
    </row>
    <row r="64" spans="1:29" ht="30" customHeight="1">
      <c r="A64" s="121"/>
      <c r="B64" s="82"/>
      <c r="C64" s="65" t="str">
        <f>"Category B   " &amp; IFERROR(VLOOKUP(F59,AH:AI,2,FALSE),"")</f>
        <v xml:space="preserve">Category B   </v>
      </c>
      <c r="D64" s="92"/>
      <c r="E64" s="501"/>
      <c r="F64" s="501"/>
      <c r="G64" s="501"/>
      <c r="H64" s="501"/>
      <c r="I64" s="506"/>
      <c r="J64" s="506"/>
      <c r="K64" s="506"/>
      <c r="L64" s="506"/>
      <c r="M64" s="540"/>
      <c r="N64" s="558"/>
      <c r="O64" s="573"/>
      <c r="P64" s="530"/>
      <c r="Q64" s="540"/>
      <c r="R64" s="558"/>
      <c r="S64" s="573"/>
      <c r="T64" s="530"/>
      <c r="U64" s="647"/>
      <c r="V64" s="662"/>
      <c r="W64" s="655"/>
      <c r="X64" s="16"/>
      <c r="Y64" s="16"/>
      <c r="Z64" s="16"/>
      <c r="AA64" s="16"/>
      <c r="AB64" s="16"/>
      <c r="AC64" s="16"/>
    </row>
    <row r="65" spans="1:29" ht="30" customHeight="1">
      <c r="A65" s="121"/>
      <c r="B65" s="82"/>
      <c r="C65" s="65" t="str">
        <f>"Category C   " &amp; IFERROR(VLOOKUP(G59,AH:AI,2,FALSE),"")</f>
        <v xml:space="preserve">Category C   </v>
      </c>
      <c r="D65" s="92"/>
      <c r="E65" s="501"/>
      <c r="F65" s="501"/>
      <c r="G65" s="501"/>
      <c r="H65" s="501"/>
      <c r="I65" s="506"/>
      <c r="J65" s="506"/>
      <c r="K65" s="506"/>
      <c r="L65" s="506"/>
      <c r="M65" s="540"/>
      <c r="N65" s="558"/>
      <c r="O65" s="573"/>
      <c r="P65" s="530"/>
      <c r="Q65" s="540"/>
      <c r="R65" s="558"/>
      <c r="S65" s="573"/>
      <c r="T65" s="530"/>
      <c r="U65" s="647"/>
      <c r="V65" s="662"/>
      <c r="W65" s="655"/>
      <c r="X65" s="16"/>
      <c r="Y65" s="16"/>
      <c r="Z65" s="16"/>
      <c r="AA65" s="16"/>
      <c r="AB65" s="16"/>
      <c r="AC65" s="16"/>
    </row>
    <row r="66" spans="1:29" ht="30" customHeight="1">
      <c r="A66" s="122"/>
      <c r="B66" s="183"/>
      <c r="C66" s="193" t="str">
        <f>"Category D   " &amp; IFERROR(VLOOKUP(H59,AH:AI,2,FALSE),"")</f>
        <v xml:space="preserve">Category D   </v>
      </c>
      <c r="D66" s="192"/>
      <c r="E66" s="501"/>
      <c r="F66" s="501"/>
      <c r="G66" s="501"/>
      <c r="H66" s="501"/>
      <c r="I66" s="506"/>
      <c r="J66" s="506"/>
      <c r="K66" s="506"/>
      <c r="L66" s="506"/>
      <c r="M66" s="540"/>
      <c r="N66" s="558"/>
      <c r="O66" s="573"/>
      <c r="P66" s="530"/>
      <c r="Q66" s="540"/>
      <c r="R66" s="558"/>
      <c r="S66" s="573"/>
      <c r="T66" s="530"/>
      <c r="U66" s="648"/>
      <c r="V66" s="663"/>
      <c r="W66" s="656"/>
      <c r="X66" s="16"/>
      <c r="Y66" s="16"/>
      <c r="Z66" s="16"/>
      <c r="AA66" s="16"/>
      <c r="AB66" s="16"/>
      <c r="AC66" s="16"/>
    </row>
    <row r="67" spans="1:29" ht="22.5" customHeight="1">
      <c r="A67" s="120" t="s">
        <v>135</v>
      </c>
      <c r="B67" s="139"/>
      <c r="C67" s="161" t="s">
        <v>302</v>
      </c>
      <c r="D67" s="351"/>
      <c r="E67" s="501" t="str">
        <f>IF(Q67&lt;&gt;"",Q67,"")</f>
        <v/>
      </c>
      <c r="F67" s="501" t="str">
        <f>IF(R67&lt;&gt;"",R67,"")</f>
        <v/>
      </c>
      <c r="G67" s="501" t="str">
        <f>IF(S67&lt;&gt;"",S67,"")</f>
        <v/>
      </c>
      <c r="H67" s="501" t="str">
        <f>IF(T67&lt;&gt;"",T67,"")</f>
        <v/>
      </c>
      <c r="I67" s="506" t="str">
        <f>IF(Q67="NA","NA",IF(AND(Q67&lt;&gt;"",OR(Q67="NS",Q67&gt;=0)),2,"-"))</f>
        <v>-</v>
      </c>
      <c r="J67" s="506" t="str">
        <f>IF(R67="NA","NA",IF(AND(R67&lt;&gt;"",OR(R67="NS",R67&gt;=0)),2,"-"))</f>
        <v>-</v>
      </c>
      <c r="K67" s="506" t="str">
        <f>IF(S67="NA","NA",IF(AND(S67&lt;&gt;"",OR(S67="NS",S67&gt;=0)),2,"-"))</f>
        <v>-</v>
      </c>
      <c r="L67" s="506" t="str">
        <f>IF(T67="NA","NA",IF(AND(T67&lt;&gt;"",OR(T67="NS",T67&gt;=0)),2,"-"))</f>
        <v>-</v>
      </c>
      <c r="M67" s="540"/>
      <c r="N67" s="558"/>
      <c r="O67" s="573"/>
      <c r="P67" s="530"/>
      <c r="Q67" s="540"/>
      <c r="R67" s="558"/>
      <c r="S67" s="573"/>
      <c r="T67" s="530"/>
      <c r="U67" s="646"/>
      <c r="V67" s="654" t="e">
        <f>IF(COUNTIF(Q67:T74,"NA")/COUNTA(Q67:T74)=1,"NA","")</f>
        <v>#DIV/0!</v>
      </c>
      <c r="W67" s="654" t="str">
        <f>IF(COUNTIF(Q67:T74,0)&gt;0,0,"")</f>
        <v/>
      </c>
      <c r="X67" s="16"/>
      <c r="Y67" s="16"/>
      <c r="Z67" s="16"/>
      <c r="AA67" s="16"/>
      <c r="AB67" s="16"/>
      <c r="AC67" s="16"/>
    </row>
    <row r="68" spans="1:29" ht="54">
      <c r="A68" s="379" t="s">
        <v>178</v>
      </c>
      <c r="B68" s="82"/>
      <c r="C68" s="60" t="s">
        <v>434</v>
      </c>
      <c r="D68" s="92"/>
      <c r="E68" s="501"/>
      <c r="F68" s="501"/>
      <c r="G68" s="501"/>
      <c r="H68" s="501"/>
      <c r="I68" s="506"/>
      <c r="J68" s="506"/>
      <c r="K68" s="506"/>
      <c r="L68" s="506"/>
      <c r="M68" s="540"/>
      <c r="N68" s="558"/>
      <c r="O68" s="573"/>
      <c r="P68" s="530"/>
      <c r="Q68" s="540"/>
      <c r="R68" s="558"/>
      <c r="S68" s="573"/>
      <c r="T68" s="530"/>
      <c r="U68" s="647"/>
      <c r="V68" s="655"/>
      <c r="W68" s="655"/>
      <c r="X68" s="16"/>
      <c r="Y68" s="16"/>
      <c r="Z68" s="16"/>
      <c r="AA68" s="16"/>
      <c r="AB68" s="16"/>
      <c r="AC68" s="16"/>
    </row>
    <row r="69" spans="1:29">
      <c r="A69" s="123"/>
      <c r="B69" s="61"/>
      <c r="C69" s="60"/>
      <c r="D69" s="92"/>
      <c r="E69" s="501"/>
      <c r="F69" s="501"/>
      <c r="G69" s="501"/>
      <c r="H69" s="501"/>
      <c r="I69" s="506"/>
      <c r="J69" s="506"/>
      <c r="K69" s="506"/>
      <c r="L69" s="506"/>
      <c r="M69" s="540"/>
      <c r="N69" s="558"/>
      <c r="O69" s="573"/>
      <c r="P69" s="530"/>
      <c r="Q69" s="540"/>
      <c r="R69" s="558"/>
      <c r="S69" s="573"/>
      <c r="T69" s="530"/>
      <c r="U69" s="647"/>
      <c r="V69" s="655"/>
      <c r="W69" s="655"/>
      <c r="X69" s="16"/>
      <c r="Y69" s="16"/>
      <c r="Z69" s="16"/>
      <c r="AA69" s="16"/>
      <c r="AB69" s="16"/>
      <c r="AC69" s="16"/>
    </row>
    <row r="70" spans="1:29">
      <c r="A70" s="121"/>
      <c r="B70" s="82"/>
      <c r="C70" s="224" t="s">
        <v>430</v>
      </c>
      <c r="D70" s="92"/>
      <c r="E70" s="501"/>
      <c r="F70" s="501"/>
      <c r="G70" s="501"/>
      <c r="H70" s="501"/>
      <c r="I70" s="506"/>
      <c r="J70" s="506"/>
      <c r="K70" s="506"/>
      <c r="L70" s="506"/>
      <c r="M70" s="540"/>
      <c r="N70" s="558"/>
      <c r="O70" s="573"/>
      <c r="P70" s="530"/>
      <c r="Q70" s="540"/>
      <c r="R70" s="558"/>
      <c r="S70" s="573"/>
      <c r="T70" s="530"/>
      <c r="U70" s="647"/>
      <c r="V70" s="655"/>
      <c r="W70" s="655"/>
      <c r="X70" s="16"/>
      <c r="Y70" s="16"/>
      <c r="Z70" s="16"/>
      <c r="AA70" s="16"/>
      <c r="AB70" s="16"/>
      <c r="AC70" s="16"/>
    </row>
    <row r="71" spans="1:29" ht="30" customHeight="1">
      <c r="A71" s="121"/>
      <c r="B71" s="82"/>
      <c r="C71" s="65" t="str">
        <f>"Category A   " &amp; IFERROR(VLOOKUP(E67,AH:AI,2,FALSE),"")</f>
        <v xml:space="preserve">Category A   </v>
      </c>
      <c r="D71" s="92"/>
      <c r="E71" s="501"/>
      <c r="F71" s="501"/>
      <c r="G71" s="501"/>
      <c r="H71" s="501"/>
      <c r="I71" s="506"/>
      <c r="J71" s="506"/>
      <c r="K71" s="506"/>
      <c r="L71" s="506"/>
      <c r="M71" s="540"/>
      <c r="N71" s="558"/>
      <c r="O71" s="573"/>
      <c r="P71" s="530"/>
      <c r="Q71" s="540"/>
      <c r="R71" s="558"/>
      <c r="S71" s="573"/>
      <c r="T71" s="530"/>
      <c r="U71" s="647"/>
      <c r="V71" s="655"/>
      <c r="W71" s="655"/>
      <c r="X71" s="16"/>
      <c r="Y71" s="16"/>
      <c r="Z71" s="16"/>
      <c r="AA71" s="16"/>
      <c r="AB71" s="16"/>
      <c r="AC71" s="16"/>
    </row>
    <row r="72" spans="1:29" ht="30" customHeight="1">
      <c r="A72" s="121"/>
      <c r="B72" s="82"/>
      <c r="C72" s="65" t="str">
        <f>"Category B   " &amp; IFERROR(VLOOKUP(F67,AH:AI,2,FALSE),"")</f>
        <v xml:space="preserve">Category B   </v>
      </c>
      <c r="D72" s="92"/>
      <c r="E72" s="501"/>
      <c r="F72" s="501"/>
      <c r="G72" s="501"/>
      <c r="H72" s="501"/>
      <c r="I72" s="506"/>
      <c r="J72" s="506"/>
      <c r="K72" s="506"/>
      <c r="L72" s="506"/>
      <c r="M72" s="540"/>
      <c r="N72" s="558"/>
      <c r="O72" s="573"/>
      <c r="P72" s="530"/>
      <c r="Q72" s="540"/>
      <c r="R72" s="558"/>
      <c r="S72" s="573"/>
      <c r="T72" s="530"/>
      <c r="U72" s="647"/>
      <c r="V72" s="655"/>
      <c r="W72" s="655"/>
      <c r="X72" s="16"/>
      <c r="Y72" s="16"/>
      <c r="Z72" s="16"/>
      <c r="AA72" s="16"/>
      <c r="AB72" s="16"/>
      <c r="AC72" s="16"/>
    </row>
    <row r="73" spans="1:29" ht="30" customHeight="1">
      <c r="A73" s="121"/>
      <c r="B73" s="82"/>
      <c r="C73" s="65" t="str">
        <f>"Category C   " &amp; IFERROR(VLOOKUP(G67,AH:AI,2,FALSE),"")</f>
        <v xml:space="preserve">Category C   </v>
      </c>
      <c r="D73" s="92"/>
      <c r="E73" s="501"/>
      <c r="F73" s="501"/>
      <c r="G73" s="501"/>
      <c r="H73" s="501"/>
      <c r="I73" s="506"/>
      <c r="J73" s="506"/>
      <c r="K73" s="506"/>
      <c r="L73" s="506"/>
      <c r="M73" s="540"/>
      <c r="N73" s="558"/>
      <c r="O73" s="573"/>
      <c r="P73" s="530"/>
      <c r="Q73" s="540"/>
      <c r="R73" s="558"/>
      <c r="S73" s="573"/>
      <c r="T73" s="530"/>
      <c r="U73" s="647"/>
      <c r="V73" s="655"/>
      <c r="W73" s="655"/>
      <c r="X73" s="16"/>
      <c r="Y73" s="16"/>
      <c r="Z73" s="16"/>
      <c r="AA73" s="16"/>
      <c r="AB73" s="16"/>
      <c r="AC73" s="16"/>
    </row>
    <row r="74" spans="1:29" ht="30" customHeight="1">
      <c r="A74" s="122"/>
      <c r="B74" s="183"/>
      <c r="C74" s="193" t="str">
        <f>"Category D   " &amp; IFERROR(VLOOKUP(H67,AH:AI,2,FALSE),"")</f>
        <v xml:space="preserve">Category D   </v>
      </c>
      <c r="D74" s="192"/>
      <c r="E74" s="501"/>
      <c r="F74" s="501"/>
      <c r="G74" s="501"/>
      <c r="H74" s="501"/>
      <c r="I74" s="506"/>
      <c r="J74" s="506"/>
      <c r="K74" s="506"/>
      <c r="L74" s="506"/>
      <c r="M74" s="540"/>
      <c r="N74" s="558"/>
      <c r="O74" s="573"/>
      <c r="P74" s="530"/>
      <c r="Q74" s="540"/>
      <c r="R74" s="558"/>
      <c r="S74" s="573"/>
      <c r="T74" s="530"/>
      <c r="U74" s="648"/>
      <c r="V74" s="656"/>
      <c r="W74" s="656"/>
      <c r="X74" s="16"/>
      <c r="Y74" s="16"/>
      <c r="Z74" s="16"/>
      <c r="AA74" s="16"/>
      <c r="AB74" s="16"/>
      <c r="AC74" s="16"/>
    </row>
    <row r="75" spans="1:29" ht="22.5" customHeight="1">
      <c r="A75" s="120" t="s">
        <v>136</v>
      </c>
      <c r="B75" s="139"/>
      <c r="C75" s="161" t="s">
        <v>304</v>
      </c>
      <c r="D75" s="351"/>
      <c r="E75" s="544" t="str">
        <f>IF(OR(Q75="",Q77="",Q79=""),"",IF(COUNTIF(Q75:Q82,"NA")=3,"NA",IF(COUNTIF(Q75:Q82,"NS")=3,"NS",SUM(Q75:Q82))))</f>
        <v/>
      </c>
      <c r="F75" s="544" t="str">
        <f>IF(OR(R75="",R77="",R79=""),"",IF(COUNTIF(R75:R82,"NA")=3,"NA",IF(COUNTIF(R75:R82,"NS")=3,"NS",SUM(R75:R82))))</f>
        <v/>
      </c>
      <c r="G75" s="544" t="str">
        <f>IF(OR(S75="",S77="",S79=""),"",IF(COUNTIF(S75:S82,"NA")=3,"NA",IF(COUNTIF(S75:S82,"NS")=3,"NS",SUM(S75:S82))))</f>
        <v/>
      </c>
      <c r="H75" s="544" t="str">
        <f>IF(OR(T75="",T77="",T79=""),"",IF(COUNTIF(T75:T82,"NA")=3,"NA",IF(COUNTIF(T75:T82,"NS")=3,"NS",SUM(T75:T82))))</f>
        <v/>
      </c>
      <c r="I75" s="506" t="str">
        <f>IF(OR(Q75="",Q77="",Q79=""),"-",IF(COUNTIF(Q75:Q82,"NA")=3,"NA",IF(COUNTIF(Q75:Q82,"NA")=2,1,IF(COUNTIF(Q75:Q82,"NA")=1,2,3))))</f>
        <v>-</v>
      </c>
      <c r="J75" s="506" t="str">
        <f>IF(OR(R75="",R77="",R79=""),"-",IF(COUNTIF(R75:R82,"NA")=3,"NA",IF(COUNTIF(R75:R82,"NA")=2,1,IF(COUNTIF(R75:R82,"NA")=1,2,3))))</f>
        <v>-</v>
      </c>
      <c r="K75" s="506" t="str">
        <f>IF(OR(S75="",S77="",S79=""),"-",IF(COUNTIF(S75:S82,"NA")=3,"NA",IF(COUNTIF(S75:S82,"NA")=2,1,IF(COUNTIF(S75:S82,"NA")=1,2,3))))</f>
        <v>-</v>
      </c>
      <c r="L75" s="506" t="str">
        <f>IF(OR(T75="",T77="",T79=""),"-",IF(COUNTIF(T75:T82,"NA")=3,"NA",IF(COUNTIF(T75:T82,"NA")=2,1,IF(COUNTIF(T75:T82,"NA")=1,2,3))))</f>
        <v>-</v>
      </c>
      <c r="M75" s="540"/>
      <c r="N75" s="558"/>
      <c r="O75" s="573"/>
      <c r="P75" s="530"/>
      <c r="Q75" s="540"/>
      <c r="R75" s="558"/>
      <c r="S75" s="573"/>
      <c r="T75" s="530"/>
      <c r="U75" s="649"/>
      <c r="V75" s="654" t="e">
        <f>IF(COUNTIF(Q75:T82,"NA")/COUNTA(Q75:T82)=1,"NA","")</f>
        <v>#DIV/0!</v>
      </c>
      <c r="W75" s="654" t="str">
        <f>IF(COUNTIF(Q75:T82,0)&gt;0,0,"")</f>
        <v/>
      </c>
      <c r="X75" s="16"/>
      <c r="Y75" s="16"/>
      <c r="Z75" s="16"/>
      <c r="AA75" s="16"/>
      <c r="AB75" s="16"/>
      <c r="AC75" s="16"/>
    </row>
    <row r="76" spans="1:29" ht="63.75" customHeight="1">
      <c r="A76" s="379" t="s">
        <v>303</v>
      </c>
      <c r="B76" s="82"/>
      <c r="C76" s="60" t="s">
        <v>549</v>
      </c>
      <c r="D76" s="92"/>
      <c r="E76" s="501"/>
      <c r="F76" s="501"/>
      <c r="G76" s="501"/>
      <c r="H76" s="501"/>
      <c r="I76" s="506"/>
      <c r="J76" s="506"/>
      <c r="K76" s="506"/>
      <c r="L76" s="506"/>
      <c r="M76" s="540"/>
      <c r="N76" s="558"/>
      <c r="O76" s="573"/>
      <c r="P76" s="530"/>
      <c r="Q76" s="540"/>
      <c r="R76" s="558"/>
      <c r="S76" s="573"/>
      <c r="T76" s="530"/>
      <c r="U76" s="650"/>
      <c r="V76" s="655"/>
      <c r="W76" s="655"/>
      <c r="X76" s="16"/>
      <c r="Y76" s="16"/>
      <c r="Z76" s="16"/>
      <c r="AA76" s="16"/>
      <c r="AB76" s="16"/>
      <c r="AC76" s="16"/>
    </row>
    <row r="77" spans="1:29">
      <c r="A77" s="123"/>
      <c r="B77" s="61"/>
      <c r="C77" s="60"/>
      <c r="D77" s="92"/>
      <c r="E77" s="501"/>
      <c r="F77" s="501"/>
      <c r="G77" s="501"/>
      <c r="H77" s="501"/>
      <c r="I77" s="506"/>
      <c r="J77" s="506"/>
      <c r="K77" s="506"/>
      <c r="L77" s="506"/>
      <c r="M77" s="514"/>
      <c r="N77" s="517"/>
      <c r="O77" s="520"/>
      <c r="P77" s="523"/>
      <c r="Q77" s="514"/>
      <c r="R77" s="517"/>
      <c r="S77" s="520"/>
      <c r="T77" s="523"/>
      <c r="U77" s="650"/>
      <c r="V77" s="655"/>
      <c r="W77" s="655"/>
      <c r="X77" s="16"/>
      <c r="Y77" s="16"/>
      <c r="Z77" s="16"/>
      <c r="AA77" s="16"/>
      <c r="AB77" s="16"/>
      <c r="AC77" s="16"/>
    </row>
    <row r="78" spans="1:29">
      <c r="A78" s="121"/>
      <c r="B78" s="82"/>
      <c r="C78" s="224" t="s">
        <v>430</v>
      </c>
      <c r="D78" s="92"/>
      <c r="E78" s="501"/>
      <c r="F78" s="501"/>
      <c r="G78" s="501"/>
      <c r="H78" s="501"/>
      <c r="I78" s="506"/>
      <c r="J78" s="506"/>
      <c r="K78" s="506"/>
      <c r="L78" s="506"/>
      <c r="M78" s="515"/>
      <c r="N78" s="518"/>
      <c r="O78" s="521"/>
      <c r="P78" s="524"/>
      <c r="Q78" s="515"/>
      <c r="R78" s="518"/>
      <c r="S78" s="521"/>
      <c r="T78" s="524"/>
      <c r="U78" s="650"/>
      <c r="V78" s="655"/>
      <c r="W78" s="655"/>
      <c r="X78" s="16"/>
      <c r="Y78" s="16"/>
      <c r="Z78" s="16"/>
      <c r="AA78" s="16"/>
      <c r="AB78" s="16"/>
      <c r="AC78" s="16"/>
    </row>
    <row r="79" spans="1:29" ht="30" customHeight="1">
      <c r="A79" s="121"/>
      <c r="B79" s="82"/>
      <c r="C79" s="65" t="str">
        <f>"Category A   " &amp; IFERROR(VLOOKUP(E75,AH:AI,2,FALSE),"")</f>
        <v xml:space="preserve">Category A   </v>
      </c>
      <c r="D79" s="92"/>
      <c r="E79" s="501"/>
      <c r="F79" s="501"/>
      <c r="G79" s="501"/>
      <c r="H79" s="501"/>
      <c r="I79" s="506"/>
      <c r="J79" s="506"/>
      <c r="K79" s="506"/>
      <c r="L79" s="506"/>
      <c r="M79" s="514"/>
      <c r="N79" s="517"/>
      <c r="O79" s="520"/>
      <c r="P79" s="523"/>
      <c r="Q79" s="514"/>
      <c r="R79" s="517"/>
      <c r="S79" s="520"/>
      <c r="T79" s="523"/>
      <c r="U79" s="650"/>
      <c r="V79" s="655"/>
      <c r="W79" s="655"/>
      <c r="X79" s="16"/>
      <c r="Y79" s="16"/>
      <c r="Z79" s="16"/>
      <c r="AA79" s="16"/>
      <c r="AB79" s="16"/>
      <c r="AC79" s="16"/>
    </row>
    <row r="80" spans="1:29" ht="30" customHeight="1">
      <c r="A80" s="121"/>
      <c r="B80" s="82"/>
      <c r="C80" s="65" t="str">
        <f>"Category B   " &amp; IFERROR(VLOOKUP(F75,AH:AI,2,FALSE),"")</f>
        <v xml:space="preserve">Category B   </v>
      </c>
      <c r="D80" s="92"/>
      <c r="E80" s="501"/>
      <c r="F80" s="501"/>
      <c r="G80" s="501"/>
      <c r="H80" s="501"/>
      <c r="I80" s="506"/>
      <c r="J80" s="506"/>
      <c r="K80" s="506"/>
      <c r="L80" s="506"/>
      <c r="M80" s="515"/>
      <c r="N80" s="518"/>
      <c r="O80" s="521"/>
      <c r="P80" s="524"/>
      <c r="Q80" s="515"/>
      <c r="R80" s="518"/>
      <c r="S80" s="521"/>
      <c r="T80" s="524"/>
      <c r="U80" s="650"/>
      <c r="V80" s="655"/>
      <c r="W80" s="655"/>
      <c r="X80" s="16"/>
      <c r="Y80" s="16"/>
      <c r="Z80" s="16"/>
      <c r="AA80" s="16"/>
      <c r="AB80" s="16"/>
      <c r="AC80" s="16"/>
    </row>
    <row r="81" spans="1:29" ht="30" customHeight="1">
      <c r="A81" s="121"/>
      <c r="B81" s="82"/>
      <c r="C81" s="65" t="str">
        <f>"Category C   " &amp; IFERROR(VLOOKUP(G75,AH:AI,2,FALSE),"")</f>
        <v xml:space="preserve">Category C   </v>
      </c>
      <c r="D81" s="92"/>
      <c r="E81" s="501"/>
      <c r="F81" s="501"/>
      <c r="G81" s="501"/>
      <c r="H81" s="501"/>
      <c r="I81" s="506"/>
      <c r="J81" s="506"/>
      <c r="K81" s="506"/>
      <c r="L81" s="506"/>
      <c r="M81" s="515"/>
      <c r="N81" s="518"/>
      <c r="O81" s="521"/>
      <c r="P81" s="524"/>
      <c r="Q81" s="515"/>
      <c r="R81" s="518"/>
      <c r="S81" s="521"/>
      <c r="T81" s="524"/>
      <c r="U81" s="650"/>
      <c r="V81" s="655"/>
      <c r="W81" s="655"/>
      <c r="X81" s="16"/>
      <c r="Y81" s="16"/>
      <c r="Z81" s="16"/>
      <c r="AA81" s="16"/>
      <c r="AB81" s="16"/>
      <c r="AC81" s="16"/>
    </row>
    <row r="82" spans="1:29" ht="30" customHeight="1">
      <c r="A82" s="122"/>
      <c r="B82" s="183"/>
      <c r="C82" s="193" t="str">
        <f>"Category D   " &amp; IFERROR(VLOOKUP(H75,AH:AI,2,FALSE),"")</f>
        <v xml:space="preserve">Category D   </v>
      </c>
      <c r="D82" s="192"/>
      <c r="E82" s="501"/>
      <c r="F82" s="501"/>
      <c r="G82" s="501"/>
      <c r="H82" s="501"/>
      <c r="I82" s="506"/>
      <c r="J82" s="506"/>
      <c r="K82" s="506"/>
      <c r="L82" s="506"/>
      <c r="M82" s="516"/>
      <c r="N82" s="519"/>
      <c r="O82" s="522"/>
      <c r="P82" s="525"/>
      <c r="Q82" s="516"/>
      <c r="R82" s="519"/>
      <c r="S82" s="522"/>
      <c r="T82" s="525"/>
      <c r="U82" s="651"/>
      <c r="V82" s="656"/>
      <c r="W82" s="656"/>
      <c r="X82" s="16"/>
      <c r="Y82" s="16"/>
      <c r="Z82" s="16"/>
      <c r="AA82" s="16"/>
      <c r="AB82" s="16"/>
      <c r="AC82" s="16"/>
    </row>
    <row r="83" spans="1:29" ht="22.5" customHeight="1">
      <c r="A83" s="120" t="s">
        <v>137</v>
      </c>
      <c r="B83" s="139"/>
      <c r="C83" s="161" t="s">
        <v>305</v>
      </c>
      <c r="D83" s="351"/>
      <c r="E83" s="501" t="str">
        <f>IF(Q83&lt;&gt;"",Q83,"")</f>
        <v/>
      </c>
      <c r="F83" s="501" t="str">
        <f>IF(R83&lt;&gt;"",R83,"")</f>
        <v/>
      </c>
      <c r="G83" s="501" t="str">
        <f>IF(S83&lt;&gt;"",S83,"")</f>
        <v/>
      </c>
      <c r="H83" s="501" t="str">
        <f>IF(T83&lt;&gt;"",T83,"")</f>
        <v/>
      </c>
      <c r="I83" s="506" t="str">
        <f>IF(Q83="NA","NA",IF(AND(Q83&lt;&gt;"",OR(Q83="NS",Q83&gt;=0)),1,"-"))</f>
        <v>-</v>
      </c>
      <c r="J83" s="506" t="str">
        <f>IF(R83="NA","NA",IF(AND(R83&lt;&gt;"",OR(R83="NS",R83&gt;=0)),1,"-"))</f>
        <v>-</v>
      </c>
      <c r="K83" s="506" t="str">
        <f>IF(S83="NA","NA",IF(AND(S83&lt;&gt;"",OR(S83="NS",S83&gt;=0)),1,"-"))</f>
        <v>-</v>
      </c>
      <c r="L83" s="506" t="str">
        <f>IF(T83="NA","NA",IF(AND(T83&lt;&gt;"",OR(T83="NS",T83&gt;=0)),1,"-"))</f>
        <v>-</v>
      </c>
      <c r="M83" s="540"/>
      <c r="N83" s="558"/>
      <c r="O83" s="573"/>
      <c r="P83" s="530"/>
      <c r="Q83" s="540"/>
      <c r="R83" s="558"/>
      <c r="S83" s="573"/>
      <c r="T83" s="530"/>
      <c r="U83" s="646" t="s">
        <v>138</v>
      </c>
      <c r="V83" s="654" t="e">
        <f>IF(COUNTIF(Q83:T90,"NA")/COUNTA(Q83:T90)=1,"NA","")</f>
        <v>#DIV/0!</v>
      </c>
      <c r="W83" s="654" t="str">
        <f>IF(COUNTIF(Q83:T90,0)&gt;0,0,"")</f>
        <v/>
      </c>
      <c r="X83" s="16"/>
      <c r="Y83" s="16"/>
      <c r="Z83" s="16"/>
      <c r="AA83" s="16"/>
      <c r="AB83" s="16"/>
      <c r="AC83" s="16"/>
    </row>
    <row r="84" spans="1:29" ht="25.5">
      <c r="A84" s="379" t="s">
        <v>182</v>
      </c>
      <c r="B84" s="82"/>
      <c r="C84" s="92" t="s">
        <v>1</v>
      </c>
      <c r="D84" s="92"/>
      <c r="E84" s="501"/>
      <c r="F84" s="501"/>
      <c r="G84" s="501"/>
      <c r="H84" s="501"/>
      <c r="I84" s="506"/>
      <c r="J84" s="506"/>
      <c r="K84" s="506"/>
      <c r="L84" s="506"/>
      <c r="M84" s="540"/>
      <c r="N84" s="558"/>
      <c r="O84" s="573"/>
      <c r="P84" s="530"/>
      <c r="Q84" s="540"/>
      <c r="R84" s="558"/>
      <c r="S84" s="573"/>
      <c r="T84" s="530"/>
      <c r="U84" s="647"/>
      <c r="V84" s="655"/>
      <c r="W84" s="655"/>
      <c r="X84" s="16"/>
      <c r="Y84" s="16"/>
      <c r="Z84" s="16"/>
      <c r="AA84" s="16"/>
      <c r="AB84" s="16"/>
      <c r="AC84" s="16"/>
    </row>
    <row r="85" spans="1:29">
      <c r="A85" s="121"/>
      <c r="B85" s="82"/>
      <c r="C85" s="85"/>
      <c r="D85" s="92"/>
      <c r="E85" s="501"/>
      <c r="F85" s="501"/>
      <c r="G85" s="501"/>
      <c r="H85" s="501"/>
      <c r="I85" s="506"/>
      <c r="J85" s="506"/>
      <c r="K85" s="506"/>
      <c r="L85" s="506"/>
      <c r="M85" s="540"/>
      <c r="N85" s="558"/>
      <c r="O85" s="573"/>
      <c r="P85" s="530"/>
      <c r="Q85" s="540"/>
      <c r="R85" s="558"/>
      <c r="S85" s="573"/>
      <c r="T85" s="530"/>
      <c r="U85" s="647"/>
      <c r="V85" s="655"/>
      <c r="W85" s="655"/>
      <c r="X85" s="16"/>
      <c r="Y85" s="16"/>
      <c r="Z85" s="16"/>
      <c r="AA85" s="16"/>
      <c r="AB85" s="16"/>
      <c r="AC85" s="16"/>
    </row>
    <row r="86" spans="1:29">
      <c r="A86" s="121"/>
      <c r="B86" s="82"/>
      <c r="C86" s="224" t="s">
        <v>430</v>
      </c>
      <c r="D86" s="92"/>
      <c r="E86" s="501"/>
      <c r="F86" s="501"/>
      <c r="G86" s="501"/>
      <c r="H86" s="501"/>
      <c r="I86" s="506"/>
      <c r="J86" s="506"/>
      <c r="K86" s="506"/>
      <c r="L86" s="506"/>
      <c r="M86" s="540"/>
      <c r="N86" s="558"/>
      <c r="O86" s="573"/>
      <c r="P86" s="530"/>
      <c r="Q86" s="540"/>
      <c r="R86" s="558"/>
      <c r="S86" s="573"/>
      <c r="T86" s="530"/>
      <c r="U86" s="647"/>
      <c r="V86" s="655"/>
      <c r="W86" s="655"/>
      <c r="X86" s="16"/>
      <c r="Y86" s="16"/>
      <c r="Z86" s="16"/>
      <c r="AA86" s="16"/>
      <c r="AB86" s="16"/>
      <c r="AC86" s="16"/>
    </row>
    <row r="87" spans="1:29" ht="30" customHeight="1">
      <c r="A87" s="121"/>
      <c r="B87" s="82"/>
      <c r="C87" s="65" t="str">
        <f>"Category A   " &amp; IFERROR(VLOOKUP(E83,AH:AI,2,FALSE),"")</f>
        <v xml:space="preserve">Category A   </v>
      </c>
      <c r="D87" s="92"/>
      <c r="E87" s="501"/>
      <c r="F87" s="501"/>
      <c r="G87" s="501"/>
      <c r="H87" s="501"/>
      <c r="I87" s="506"/>
      <c r="J87" s="506"/>
      <c r="K87" s="506"/>
      <c r="L87" s="506"/>
      <c r="M87" s="540"/>
      <c r="N87" s="558"/>
      <c r="O87" s="573"/>
      <c r="P87" s="530"/>
      <c r="Q87" s="540"/>
      <c r="R87" s="558"/>
      <c r="S87" s="573"/>
      <c r="T87" s="530"/>
      <c r="U87" s="647"/>
      <c r="V87" s="655"/>
      <c r="W87" s="655"/>
      <c r="X87" s="16"/>
      <c r="Y87" s="16"/>
      <c r="Z87" s="16"/>
      <c r="AA87" s="16"/>
      <c r="AB87" s="16"/>
      <c r="AC87" s="16"/>
    </row>
    <row r="88" spans="1:29" ht="30" customHeight="1">
      <c r="A88" s="121"/>
      <c r="B88" s="82"/>
      <c r="C88" s="65" t="str">
        <f>"Category B   " &amp; IFERROR(VLOOKUP(F83,AH:AI,2,FALSE),"")</f>
        <v xml:space="preserve">Category B   </v>
      </c>
      <c r="D88" s="92"/>
      <c r="E88" s="501"/>
      <c r="F88" s="501"/>
      <c r="G88" s="501"/>
      <c r="H88" s="501"/>
      <c r="I88" s="506"/>
      <c r="J88" s="506"/>
      <c r="K88" s="506"/>
      <c r="L88" s="506"/>
      <c r="M88" s="540"/>
      <c r="N88" s="558"/>
      <c r="O88" s="573"/>
      <c r="P88" s="530"/>
      <c r="Q88" s="540"/>
      <c r="R88" s="558"/>
      <c r="S88" s="573"/>
      <c r="T88" s="530"/>
      <c r="U88" s="647"/>
      <c r="V88" s="655"/>
      <c r="W88" s="655"/>
      <c r="X88" s="16"/>
      <c r="Y88" s="16"/>
      <c r="Z88" s="16"/>
      <c r="AA88" s="16"/>
      <c r="AB88" s="16"/>
      <c r="AC88" s="16"/>
    </row>
    <row r="89" spans="1:29" ht="30" customHeight="1">
      <c r="A89" s="121"/>
      <c r="B89" s="82"/>
      <c r="C89" s="65" t="str">
        <f>"Category C   " &amp; IFERROR(VLOOKUP(G83,AH:AI,2,FALSE),"")</f>
        <v xml:space="preserve">Category C   </v>
      </c>
      <c r="D89" s="92"/>
      <c r="E89" s="501"/>
      <c r="F89" s="501"/>
      <c r="G89" s="501"/>
      <c r="H89" s="501"/>
      <c r="I89" s="506"/>
      <c r="J89" s="506"/>
      <c r="K89" s="506"/>
      <c r="L89" s="506"/>
      <c r="M89" s="540"/>
      <c r="N89" s="558"/>
      <c r="O89" s="573"/>
      <c r="P89" s="530"/>
      <c r="Q89" s="540"/>
      <c r="R89" s="558"/>
      <c r="S89" s="573"/>
      <c r="T89" s="530"/>
      <c r="U89" s="647"/>
      <c r="V89" s="655"/>
      <c r="W89" s="655"/>
      <c r="X89" s="16"/>
      <c r="Y89" s="16"/>
      <c r="Z89" s="16"/>
      <c r="AA89" s="16"/>
      <c r="AB89" s="16"/>
      <c r="AC89" s="16"/>
    </row>
    <row r="90" spans="1:29" ht="30" customHeight="1">
      <c r="A90" s="122"/>
      <c r="B90" s="183"/>
      <c r="C90" s="193" t="str">
        <f>"Category D   " &amp; IFERROR(VLOOKUP(H83,AH:AI,2,FALSE),"")</f>
        <v xml:space="preserve">Category D   </v>
      </c>
      <c r="D90" s="192"/>
      <c r="E90" s="501"/>
      <c r="F90" s="501"/>
      <c r="G90" s="501"/>
      <c r="H90" s="501"/>
      <c r="I90" s="506"/>
      <c r="J90" s="506"/>
      <c r="K90" s="506"/>
      <c r="L90" s="506"/>
      <c r="M90" s="540"/>
      <c r="N90" s="558"/>
      <c r="O90" s="573"/>
      <c r="P90" s="530"/>
      <c r="Q90" s="540"/>
      <c r="R90" s="558"/>
      <c r="S90" s="573"/>
      <c r="T90" s="530"/>
      <c r="U90" s="648"/>
      <c r="V90" s="656"/>
      <c r="W90" s="656"/>
      <c r="X90" s="16"/>
      <c r="Y90" s="16"/>
      <c r="Z90" s="16"/>
      <c r="AA90" s="16"/>
      <c r="AB90" s="16"/>
      <c r="AC90" s="16"/>
    </row>
    <row r="91" spans="1:29" ht="22.5" customHeight="1">
      <c r="A91" s="115">
        <v>6.4</v>
      </c>
      <c r="B91" s="126"/>
      <c r="C91" s="128" t="s">
        <v>139</v>
      </c>
      <c r="D91" s="191"/>
      <c r="E91" s="305"/>
      <c r="F91" s="305"/>
      <c r="G91" s="305"/>
      <c r="H91" s="305"/>
      <c r="I91" s="164"/>
      <c r="J91" s="181"/>
      <c r="K91" s="181"/>
      <c r="L91" s="181"/>
      <c r="M91" s="181"/>
      <c r="N91" s="181"/>
      <c r="O91" s="181"/>
      <c r="P91" s="181"/>
      <c r="Q91" s="181"/>
      <c r="R91" s="181"/>
      <c r="S91" s="181"/>
      <c r="T91" s="181"/>
      <c r="U91" s="127"/>
      <c r="V91" s="127"/>
      <c r="W91" s="127"/>
      <c r="X91" s="16"/>
      <c r="Y91" s="16"/>
      <c r="Z91" s="16"/>
      <c r="AA91" s="16"/>
      <c r="AB91" s="16"/>
      <c r="AC91" s="16"/>
    </row>
    <row r="92" spans="1:29" ht="22.5" customHeight="1">
      <c r="A92" s="120" t="s">
        <v>140</v>
      </c>
      <c r="B92" s="139"/>
      <c r="C92" s="161" t="s">
        <v>306</v>
      </c>
      <c r="D92" s="351"/>
      <c r="E92" s="501" t="str">
        <f>IF(Q92&lt;&gt;"",Q92,"")</f>
        <v/>
      </c>
      <c r="F92" s="501" t="str">
        <f>IF(R92&lt;&gt;"",R92,"")</f>
        <v/>
      </c>
      <c r="G92" s="501" t="str">
        <f>IF(S92&lt;&gt;"",S92,"")</f>
        <v/>
      </c>
      <c r="H92" s="501" t="str">
        <f>IF(T92&lt;&gt;"",T92,"")</f>
        <v/>
      </c>
      <c r="I92" s="506" t="str">
        <f>IF(Q92="NA","NA",IF(AND(Q92&lt;&gt;"",OR(Q92="NS",Q92&gt;=0)),1,"-"))</f>
        <v>-</v>
      </c>
      <c r="J92" s="506" t="str">
        <f>IF(R92="NA","NA",IF(AND(R92&lt;&gt;"",OR(R92="NS",R92&gt;=0)),1,"-"))</f>
        <v>-</v>
      </c>
      <c r="K92" s="506" t="str">
        <f>IF(S92="NA","NA",IF(AND(S92&lt;&gt;"",OR(S92="NS",S92&gt;=0)),1,"-"))</f>
        <v>-</v>
      </c>
      <c r="L92" s="506" t="str">
        <f>IF(T92="NA","NA",IF(AND(T92&lt;&gt;"",OR(T92="NS",T92&gt;=0)),1,"-"))</f>
        <v>-</v>
      </c>
      <c r="M92" s="540"/>
      <c r="N92" s="558"/>
      <c r="O92" s="573"/>
      <c r="P92" s="530"/>
      <c r="Q92" s="540"/>
      <c r="R92" s="558"/>
      <c r="S92" s="573"/>
      <c r="T92" s="530"/>
      <c r="U92" s="646" t="s">
        <v>141</v>
      </c>
      <c r="V92" s="654" t="e">
        <f>IF(COUNTIF(Q92:T99,"NA")/COUNTA(Q92:T99)=1,"NA","")</f>
        <v>#DIV/0!</v>
      </c>
      <c r="W92" s="654" t="str">
        <f>IF(COUNTIF(Q92:T99,0)&gt;0,0,"")</f>
        <v/>
      </c>
      <c r="X92" s="16"/>
      <c r="Y92" s="16"/>
      <c r="Z92" s="16"/>
      <c r="AA92" s="16"/>
      <c r="AB92" s="16"/>
      <c r="AC92" s="16"/>
    </row>
    <row r="93" spans="1:29" ht="25.5">
      <c r="A93" s="379" t="s">
        <v>182</v>
      </c>
      <c r="B93" s="82"/>
      <c r="C93" s="60" t="s">
        <v>658</v>
      </c>
      <c r="D93" s="92"/>
      <c r="E93" s="501"/>
      <c r="F93" s="501"/>
      <c r="G93" s="501"/>
      <c r="H93" s="501"/>
      <c r="I93" s="506"/>
      <c r="J93" s="506"/>
      <c r="K93" s="506"/>
      <c r="L93" s="506"/>
      <c r="M93" s="540"/>
      <c r="N93" s="558"/>
      <c r="O93" s="573"/>
      <c r="P93" s="530"/>
      <c r="Q93" s="540"/>
      <c r="R93" s="558"/>
      <c r="S93" s="573"/>
      <c r="T93" s="530"/>
      <c r="U93" s="647"/>
      <c r="V93" s="655"/>
      <c r="W93" s="655"/>
      <c r="X93" s="16"/>
      <c r="Y93" s="16"/>
      <c r="Z93" s="16"/>
      <c r="AA93" s="16"/>
      <c r="AB93" s="16"/>
      <c r="AC93" s="16"/>
    </row>
    <row r="94" spans="1:29">
      <c r="A94" s="121"/>
      <c r="B94" s="82"/>
      <c r="C94" s="60"/>
      <c r="D94" s="92"/>
      <c r="E94" s="501"/>
      <c r="F94" s="501"/>
      <c r="G94" s="501"/>
      <c r="H94" s="501"/>
      <c r="I94" s="506"/>
      <c r="J94" s="506"/>
      <c r="K94" s="506"/>
      <c r="L94" s="506"/>
      <c r="M94" s="540"/>
      <c r="N94" s="558"/>
      <c r="O94" s="573"/>
      <c r="P94" s="530"/>
      <c r="Q94" s="540"/>
      <c r="R94" s="558"/>
      <c r="S94" s="573"/>
      <c r="T94" s="530"/>
      <c r="U94" s="647"/>
      <c r="V94" s="655"/>
      <c r="W94" s="655"/>
      <c r="X94" s="16"/>
      <c r="Y94" s="16"/>
      <c r="Z94" s="16"/>
      <c r="AA94" s="16"/>
      <c r="AB94" s="16"/>
      <c r="AC94" s="16"/>
    </row>
    <row r="95" spans="1:29">
      <c r="A95" s="121"/>
      <c r="B95" s="82"/>
      <c r="C95" s="224" t="s">
        <v>430</v>
      </c>
      <c r="D95" s="92"/>
      <c r="E95" s="501"/>
      <c r="F95" s="501"/>
      <c r="G95" s="501"/>
      <c r="H95" s="501"/>
      <c r="I95" s="506"/>
      <c r="J95" s="506"/>
      <c r="K95" s="506"/>
      <c r="L95" s="506"/>
      <c r="M95" s="540"/>
      <c r="N95" s="558"/>
      <c r="O95" s="573"/>
      <c r="P95" s="530"/>
      <c r="Q95" s="540"/>
      <c r="R95" s="558"/>
      <c r="S95" s="573"/>
      <c r="T95" s="530"/>
      <c r="U95" s="647"/>
      <c r="V95" s="655"/>
      <c r="W95" s="655"/>
      <c r="X95" s="16"/>
      <c r="Y95" s="16"/>
      <c r="Z95" s="16"/>
      <c r="AA95" s="16"/>
      <c r="AB95" s="16"/>
      <c r="AC95" s="16"/>
    </row>
    <row r="96" spans="1:29" ht="30" customHeight="1">
      <c r="A96" s="121"/>
      <c r="B96" s="82"/>
      <c r="C96" s="65" t="str">
        <f>"Category A   " &amp; IFERROR(VLOOKUP(E92,AH:AI,2,FALSE),"")</f>
        <v xml:space="preserve">Category A   </v>
      </c>
      <c r="D96" s="92"/>
      <c r="E96" s="501"/>
      <c r="F96" s="501"/>
      <c r="G96" s="501"/>
      <c r="H96" s="501"/>
      <c r="I96" s="506"/>
      <c r="J96" s="506"/>
      <c r="K96" s="506"/>
      <c r="L96" s="506"/>
      <c r="M96" s="540"/>
      <c r="N96" s="558"/>
      <c r="O96" s="573"/>
      <c r="P96" s="530"/>
      <c r="Q96" s="540"/>
      <c r="R96" s="558"/>
      <c r="S96" s="573"/>
      <c r="T96" s="530"/>
      <c r="U96" s="647"/>
      <c r="V96" s="655"/>
      <c r="W96" s="655"/>
      <c r="X96" s="16"/>
      <c r="Y96" s="16"/>
      <c r="Z96" s="16"/>
      <c r="AA96" s="16"/>
      <c r="AB96" s="16"/>
      <c r="AC96" s="16"/>
    </row>
    <row r="97" spans="1:29" ht="30" customHeight="1">
      <c r="A97" s="121"/>
      <c r="B97" s="82"/>
      <c r="C97" s="65" t="str">
        <f>"Category B   " &amp; IFERROR(VLOOKUP(F92,AH:AI,2,FALSE),"")</f>
        <v xml:space="preserve">Category B   </v>
      </c>
      <c r="D97" s="92"/>
      <c r="E97" s="501"/>
      <c r="F97" s="501"/>
      <c r="G97" s="501"/>
      <c r="H97" s="501"/>
      <c r="I97" s="506"/>
      <c r="J97" s="506"/>
      <c r="K97" s="506"/>
      <c r="L97" s="506"/>
      <c r="M97" s="540"/>
      <c r="N97" s="558"/>
      <c r="O97" s="573"/>
      <c r="P97" s="530"/>
      <c r="Q97" s="540"/>
      <c r="R97" s="558"/>
      <c r="S97" s="573"/>
      <c r="T97" s="530"/>
      <c r="U97" s="647"/>
      <c r="V97" s="655"/>
      <c r="W97" s="655"/>
      <c r="X97" s="16"/>
      <c r="Y97" s="16"/>
      <c r="Z97" s="16"/>
      <c r="AA97" s="16"/>
      <c r="AB97" s="16"/>
      <c r="AC97" s="16"/>
    </row>
    <row r="98" spans="1:29" ht="30" customHeight="1">
      <c r="A98" s="121"/>
      <c r="B98" s="82"/>
      <c r="C98" s="65" t="str">
        <f>"Category C   " &amp; IFERROR(VLOOKUP(G92,AH:AI,2,FALSE),"")</f>
        <v xml:space="preserve">Category C   </v>
      </c>
      <c r="D98" s="92"/>
      <c r="E98" s="501"/>
      <c r="F98" s="501"/>
      <c r="G98" s="501"/>
      <c r="H98" s="501"/>
      <c r="I98" s="506"/>
      <c r="J98" s="506"/>
      <c r="K98" s="506"/>
      <c r="L98" s="506"/>
      <c r="M98" s="540"/>
      <c r="N98" s="558"/>
      <c r="O98" s="573"/>
      <c r="P98" s="530"/>
      <c r="Q98" s="540"/>
      <c r="R98" s="558"/>
      <c r="S98" s="573"/>
      <c r="T98" s="530"/>
      <c r="U98" s="647"/>
      <c r="V98" s="655"/>
      <c r="W98" s="655"/>
      <c r="X98" s="16"/>
      <c r="Y98" s="16"/>
      <c r="Z98" s="16"/>
      <c r="AA98" s="16"/>
      <c r="AB98" s="16"/>
      <c r="AC98" s="16"/>
    </row>
    <row r="99" spans="1:29" ht="30" customHeight="1">
      <c r="A99" s="122"/>
      <c r="B99" s="183"/>
      <c r="C99" s="193" t="str">
        <f>"Category D   " &amp; IFERROR(VLOOKUP(H92,AH:AI,2,FALSE),"")</f>
        <v xml:space="preserve">Category D   </v>
      </c>
      <c r="D99" s="192"/>
      <c r="E99" s="501"/>
      <c r="F99" s="501"/>
      <c r="G99" s="501"/>
      <c r="H99" s="501"/>
      <c r="I99" s="506"/>
      <c r="J99" s="506"/>
      <c r="K99" s="506"/>
      <c r="L99" s="506"/>
      <c r="M99" s="540"/>
      <c r="N99" s="558"/>
      <c r="O99" s="573"/>
      <c r="P99" s="530"/>
      <c r="Q99" s="540"/>
      <c r="R99" s="558"/>
      <c r="S99" s="573"/>
      <c r="T99" s="530"/>
      <c r="U99" s="648"/>
      <c r="V99" s="656"/>
      <c r="W99" s="656"/>
      <c r="X99" s="16"/>
      <c r="Y99" s="16"/>
      <c r="Z99" s="16"/>
      <c r="AA99" s="16"/>
      <c r="AB99" s="16"/>
      <c r="AC99" s="16"/>
    </row>
    <row r="100" spans="1:29" ht="22.5" customHeight="1">
      <c r="A100" s="120" t="s">
        <v>142</v>
      </c>
      <c r="B100" s="139"/>
      <c r="C100" s="161" t="s">
        <v>307</v>
      </c>
      <c r="D100" s="351"/>
      <c r="E100" s="501" t="str">
        <f>IF(Q100&lt;&gt;"",Q100,"")</f>
        <v/>
      </c>
      <c r="F100" s="501" t="str">
        <f>IF(R100&lt;&gt;"",R100,"")</f>
        <v/>
      </c>
      <c r="G100" s="501" t="str">
        <f>IF(S100&lt;&gt;"",S100,"")</f>
        <v/>
      </c>
      <c r="H100" s="501" t="str">
        <f>IF(T100&lt;&gt;"",T100,"")</f>
        <v/>
      </c>
      <c r="I100" s="506" t="str">
        <f>IF(Q100="NA","NA",IF(AND(Q100&lt;&gt;"",OR(Q100="NS",Q100&gt;=0)),1,"-"))</f>
        <v>-</v>
      </c>
      <c r="J100" s="506" t="str">
        <f>IF(R100="NA","NA",IF(AND(R100&lt;&gt;"",OR(R100="NS",R100&gt;=0)),1,"-"))</f>
        <v>-</v>
      </c>
      <c r="K100" s="506" t="str">
        <f>IF(S100="NA","NA",IF(AND(S100&lt;&gt;"",OR(S100="NS",S100&gt;=0)),1,"-"))</f>
        <v>-</v>
      </c>
      <c r="L100" s="506" t="str">
        <f>IF(T100="NA","NA",IF(AND(T100&lt;&gt;"",OR(T100="NS",T100&gt;=0)),1,"-"))</f>
        <v>-</v>
      </c>
      <c r="M100" s="540"/>
      <c r="N100" s="558"/>
      <c r="O100" s="573"/>
      <c r="P100" s="530"/>
      <c r="Q100" s="540"/>
      <c r="R100" s="558"/>
      <c r="S100" s="573"/>
      <c r="T100" s="530"/>
      <c r="U100" s="646" t="s">
        <v>143</v>
      </c>
      <c r="V100" s="654" t="e">
        <f>IF(COUNTIF(Q100:T107,"NA")/COUNTA(Q100:T107)=1,"NA","")</f>
        <v>#DIV/0!</v>
      </c>
      <c r="W100" s="654" t="str">
        <f>IF(COUNTIF(Q100:T107,0)&gt;0,0,"")</f>
        <v/>
      </c>
      <c r="X100" s="16"/>
      <c r="Y100" s="16"/>
      <c r="Z100" s="16"/>
      <c r="AA100" s="16"/>
      <c r="AB100" s="16"/>
      <c r="AC100" s="16"/>
    </row>
    <row r="101" spans="1:29" ht="25.5">
      <c r="A101" s="379" t="s">
        <v>182</v>
      </c>
      <c r="B101" s="82"/>
      <c r="C101" s="60" t="s">
        <v>550</v>
      </c>
      <c r="D101" s="92"/>
      <c r="E101" s="501"/>
      <c r="F101" s="501"/>
      <c r="G101" s="501"/>
      <c r="H101" s="501"/>
      <c r="I101" s="506"/>
      <c r="J101" s="506"/>
      <c r="K101" s="506"/>
      <c r="L101" s="506"/>
      <c r="M101" s="540"/>
      <c r="N101" s="558"/>
      <c r="O101" s="573"/>
      <c r="P101" s="530"/>
      <c r="Q101" s="540"/>
      <c r="R101" s="558"/>
      <c r="S101" s="573"/>
      <c r="T101" s="530"/>
      <c r="U101" s="647"/>
      <c r="V101" s="655"/>
      <c r="W101" s="655"/>
      <c r="X101" s="16"/>
      <c r="Y101" s="16"/>
      <c r="Z101" s="16"/>
      <c r="AA101" s="16"/>
      <c r="AB101" s="16"/>
      <c r="AC101" s="16"/>
    </row>
    <row r="102" spans="1:29">
      <c r="A102" s="121"/>
      <c r="B102" s="82"/>
      <c r="C102" s="60"/>
      <c r="D102" s="92"/>
      <c r="E102" s="501"/>
      <c r="F102" s="501"/>
      <c r="G102" s="501"/>
      <c r="H102" s="501"/>
      <c r="I102" s="506"/>
      <c r="J102" s="506"/>
      <c r="K102" s="506"/>
      <c r="L102" s="506"/>
      <c r="M102" s="540"/>
      <c r="N102" s="558"/>
      <c r="O102" s="573"/>
      <c r="P102" s="530"/>
      <c r="Q102" s="540"/>
      <c r="R102" s="558"/>
      <c r="S102" s="573"/>
      <c r="T102" s="530"/>
      <c r="U102" s="647"/>
      <c r="V102" s="655"/>
      <c r="W102" s="655"/>
      <c r="X102" s="16"/>
      <c r="Y102" s="16"/>
      <c r="Z102" s="16"/>
      <c r="AA102" s="16"/>
      <c r="AB102" s="16"/>
      <c r="AC102" s="16"/>
    </row>
    <row r="103" spans="1:29">
      <c r="A103" s="121"/>
      <c r="B103" s="82"/>
      <c r="C103" s="224" t="s">
        <v>430</v>
      </c>
      <c r="D103" s="92"/>
      <c r="E103" s="501"/>
      <c r="F103" s="501"/>
      <c r="G103" s="501"/>
      <c r="H103" s="501"/>
      <c r="I103" s="506"/>
      <c r="J103" s="506"/>
      <c r="K103" s="506"/>
      <c r="L103" s="506"/>
      <c r="M103" s="540"/>
      <c r="N103" s="558"/>
      <c r="O103" s="573"/>
      <c r="P103" s="530"/>
      <c r="Q103" s="540"/>
      <c r="R103" s="558"/>
      <c r="S103" s="573"/>
      <c r="T103" s="530"/>
      <c r="U103" s="647"/>
      <c r="V103" s="655"/>
      <c r="W103" s="655"/>
      <c r="X103" s="16"/>
      <c r="Y103" s="16"/>
      <c r="Z103" s="16"/>
      <c r="AA103" s="16"/>
      <c r="AB103" s="16"/>
      <c r="AC103" s="16"/>
    </row>
    <row r="104" spans="1:29" ht="30" customHeight="1">
      <c r="A104" s="121"/>
      <c r="B104" s="82"/>
      <c r="C104" s="65" t="str">
        <f>"Category A   " &amp; IFERROR(VLOOKUP(E100,AH:AI,2,FALSE),"")</f>
        <v xml:space="preserve">Category A   </v>
      </c>
      <c r="D104" s="92"/>
      <c r="E104" s="501"/>
      <c r="F104" s="501"/>
      <c r="G104" s="501"/>
      <c r="H104" s="501"/>
      <c r="I104" s="506"/>
      <c r="J104" s="506"/>
      <c r="K104" s="506"/>
      <c r="L104" s="506"/>
      <c r="M104" s="540"/>
      <c r="N104" s="558"/>
      <c r="O104" s="573"/>
      <c r="P104" s="530"/>
      <c r="Q104" s="540"/>
      <c r="R104" s="558"/>
      <c r="S104" s="573"/>
      <c r="T104" s="530"/>
      <c r="U104" s="647"/>
      <c r="V104" s="655"/>
      <c r="W104" s="655"/>
      <c r="X104" s="16"/>
      <c r="Y104" s="16"/>
      <c r="Z104" s="16"/>
      <c r="AA104" s="16"/>
      <c r="AB104" s="16"/>
      <c r="AC104" s="16"/>
    </row>
    <row r="105" spans="1:29" ht="30" customHeight="1">
      <c r="A105" s="121"/>
      <c r="B105" s="82"/>
      <c r="C105" s="65" t="str">
        <f>"Category B   " &amp; IFERROR(VLOOKUP(F100,AH:AI,2,FALSE),"")</f>
        <v xml:space="preserve">Category B   </v>
      </c>
      <c r="D105" s="92"/>
      <c r="E105" s="501"/>
      <c r="F105" s="501"/>
      <c r="G105" s="501"/>
      <c r="H105" s="501"/>
      <c r="I105" s="506"/>
      <c r="J105" s="506"/>
      <c r="K105" s="506"/>
      <c r="L105" s="506"/>
      <c r="M105" s="540"/>
      <c r="N105" s="558"/>
      <c r="O105" s="573"/>
      <c r="P105" s="530"/>
      <c r="Q105" s="540"/>
      <c r="R105" s="558"/>
      <c r="S105" s="573"/>
      <c r="T105" s="530"/>
      <c r="U105" s="647"/>
      <c r="V105" s="655"/>
      <c r="W105" s="655"/>
      <c r="X105" s="16"/>
      <c r="Y105" s="16"/>
      <c r="Z105" s="16"/>
      <c r="AA105" s="16"/>
      <c r="AB105" s="16"/>
      <c r="AC105" s="16"/>
    </row>
    <row r="106" spans="1:29" ht="30" customHeight="1">
      <c r="A106" s="121"/>
      <c r="B106" s="82"/>
      <c r="C106" s="65" t="str">
        <f>"Category C   " &amp; IFERROR(VLOOKUP(G100,AH:AI,2,FALSE),"")</f>
        <v xml:space="preserve">Category C   </v>
      </c>
      <c r="D106" s="92"/>
      <c r="E106" s="501"/>
      <c r="F106" s="501"/>
      <c r="G106" s="501"/>
      <c r="H106" s="501"/>
      <c r="I106" s="506"/>
      <c r="J106" s="506"/>
      <c r="K106" s="506"/>
      <c r="L106" s="506"/>
      <c r="M106" s="540"/>
      <c r="N106" s="558"/>
      <c r="O106" s="573"/>
      <c r="P106" s="530"/>
      <c r="Q106" s="540"/>
      <c r="R106" s="558"/>
      <c r="S106" s="573"/>
      <c r="T106" s="530"/>
      <c r="U106" s="647"/>
      <c r="V106" s="655"/>
      <c r="W106" s="655"/>
      <c r="X106" s="16"/>
      <c r="Y106" s="16"/>
      <c r="Z106" s="16"/>
      <c r="AA106" s="16"/>
      <c r="AB106" s="16"/>
      <c r="AC106" s="16"/>
    </row>
    <row r="107" spans="1:29" ht="30" customHeight="1">
      <c r="A107" s="122"/>
      <c r="B107" s="183"/>
      <c r="C107" s="193" t="str">
        <f>"Category D   " &amp; IFERROR(VLOOKUP(H100,AH:AI,2,FALSE),"")</f>
        <v xml:space="preserve">Category D   </v>
      </c>
      <c r="D107" s="192"/>
      <c r="E107" s="501"/>
      <c r="F107" s="501"/>
      <c r="G107" s="501"/>
      <c r="H107" s="501"/>
      <c r="I107" s="506"/>
      <c r="J107" s="506"/>
      <c r="K107" s="506"/>
      <c r="L107" s="506"/>
      <c r="M107" s="540"/>
      <c r="N107" s="558"/>
      <c r="O107" s="573"/>
      <c r="P107" s="530"/>
      <c r="Q107" s="540"/>
      <c r="R107" s="558"/>
      <c r="S107" s="573"/>
      <c r="T107" s="530"/>
      <c r="U107" s="648"/>
      <c r="V107" s="656"/>
      <c r="W107" s="656"/>
      <c r="X107" s="16"/>
      <c r="Y107" s="16"/>
      <c r="Z107" s="16"/>
      <c r="AA107" s="16"/>
      <c r="AB107" s="16"/>
      <c r="AC107" s="16"/>
    </row>
    <row r="108" spans="1:29" ht="22.5" customHeight="1">
      <c r="A108" s="120" t="s">
        <v>144</v>
      </c>
      <c r="B108" s="139"/>
      <c r="C108" s="161" t="s">
        <v>587</v>
      </c>
      <c r="D108" s="351"/>
      <c r="E108" s="501" t="str">
        <f>IF(Q108&lt;&gt;"",Q108,"")</f>
        <v/>
      </c>
      <c r="F108" s="501" t="str">
        <f>IF(R108&lt;&gt;"",R108,"")</f>
        <v/>
      </c>
      <c r="G108" s="501" t="str">
        <f>IF(S108&lt;&gt;"",S108,"")</f>
        <v/>
      </c>
      <c r="H108" s="501" t="str">
        <f>IF(T108&lt;&gt;"",T108,"")</f>
        <v/>
      </c>
      <c r="I108" s="506" t="str">
        <f>IF(Q108="NA","NA",IF(AND(Q108&lt;&gt;"",OR(Q108="NS",Q108&gt;=0)),1,"-"))</f>
        <v>-</v>
      </c>
      <c r="J108" s="506" t="str">
        <f>IF(R108="NA","NA",IF(AND(R108&lt;&gt;"",OR(R108="NS",R108&gt;=0)),1,"-"))</f>
        <v>-</v>
      </c>
      <c r="K108" s="506" t="str">
        <f>IF(S108="NA","NA",IF(AND(S108&lt;&gt;"",OR(S108="NS",S108&gt;=0)),1,"-"))</f>
        <v>-</v>
      </c>
      <c r="L108" s="506" t="str">
        <f>IF(T108="NA","NA",IF(AND(T108&lt;&gt;"",OR(T108="NS",T108&gt;=0)),1,"-"))</f>
        <v>-</v>
      </c>
      <c r="M108" s="540"/>
      <c r="N108" s="558"/>
      <c r="O108" s="573"/>
      <c r="P108" s="530"/>
      <c r="Q108" s="540"/>
      <c r="R108" s="558"/>
      <c r="S108" s="573"/>
      <c r="T108" s="530"/>
      <c r="U108" s="646" t="s">
        <v>145</v>
      </c>
      <c r="V108" s="660" t="e">
        <f>IF(COUNTIF(Q108:T116,"NA")/COUNTA(Q108:T116)=1,"NA","")</f>
        <v>#DIV/0!</v>
      </c>
      <c r="W108" s="660" t="str">
        <f>IF(COUNTIF(Q108:T116,0)&gt;0,0,"")</f>
        <v/>
      </c>
      <c r="X108" s="16"/>
      <c r="Y108" s="16"/>
      <c r="Z108" s="16"/>
      <c r="AA108" s="16"/>
      <c r="AB108" s="16"/>
      <c r="AC108" s="16"/>
    </row>
    <row r="109" spans="1:29" ht="22.5" customHeight="1">
      <c r="A109" s="124" t="s">
        <v>308</v>
      </c>
      <c r="B109" s="59"/>
      <c r="C109" s="86" t="s">
        <v>588</v>
      </c>
      <c r="D109" s="92"/>
      <c r="E109" s="501"/>
      <c r="F109" s="501"/>
      <c r="G109" s="501"/>
      <c r="H109" s="501"/>
      <c r="I109" s="506"/>
      <c r="J109" s="506"/>
      <c r="K109" s="506"/>
      <c r="L109" s="506"/>
      <c r="M109" s="540"/>
      <c r="N109" s="558"/>
      <c r="O109" s="573"/>
      <c r="P109" s="530"/>
      <c r="Q109" s="540"/>
      <c r="R109" s="558"/>
      <c r="S109" s="573"/>
      <c r="T109" s="530"/>
      <c r="U109" s="647"/>
      <c r="V109" s="660"/>
      <c r="W109" s="660"/>
      <c r="X109" s="16"/>
      <c r="Y109" s="16"/>
      <c r="Z109" s="16"/>
      <c r="AA109" s="16"/>
      <c r="AB109" s="16"/>
      <c r="AC109" s="16"/>
    </row>
    <row r="110" spans="1:29" ht="25.5">
      <c r="A110" s="379" t="s">
        <v>182</v>
      </c>
      <c r="B110" s="82"/>
      <c r="C110" s="60" t="s">
        <v>309</v>
      </c>
      <c r="D110" s="92"/>
      <c r="E110" s="501"/>
      <c r="F110" s="501"/>
      <c r="G110" s="501"/>
      <c r="H110" s="501"/>
      <c r="I110" s="506"/>
      <c r="J110" s="506"/>
      <c r="K110" s="506"/>
      <c r="L110" s="506"/>
      <c r="M110" s="540"/>
      <c r="N110" s="558"/>
      <c r="O110" s="573"/>
      <c r="P110" s="530"/>
      <c r="Q110" s="540"/>
      <c r="R110" s="558"/>
      <c r="S110" s="573"/>
      <c r="T110" s="530"/>
      <c r="U110" s="647"/>
      <c r="V110" s="660"/>
      <c r="W110" s="660"/>
      <c r="X110" s="16"/>
      <c r="Y110" s="16"/>
      <c r="Z110" s="16"/>
      <c r="AA110" s="16"/>
      <c r="AB110" s="16"/>
      <c r="AC110" s="16"/>
    </row>
    <row r="111" spans="1:29">
      <c r="A111" s="121"/>
      <c r="B111" s="82"/>
      <c r="C111" s="60"/>
      <c r="D111" s="92"/>
      <c r="E111" s="501"/>
      <c r="F111" s="501"/>
      <c r="G111" s="501"/>
      <c r="H111" s="501"/>
      <c r="I111" s="506"/>
      <c r="J111" s="506"/>
      <c r="K111" s="506"/>
      <c r="L111" s="506"/>
      <c r="M111" s="540"/>
      <c r="N111" s="558"/>
      <c r="O111" s="573"/>
      <c r="P111" s="530"/>
      <c r="Q111" s="540"/>
      <c r="R111" s="558"/>
      <c r="S111" s="573"/>
      <c r="T111" s="530"/>
      <c r="U111" s="647"/>
      <c r="V111" s="660"/>
      <c r="W111" s="660"/>
      <c r="X111" s="16"/>
      <c r="Y111" s="16"/>
      <c r="Z111" s="16"/>
      <c r="AA111" s="16"/>
      <c r="AB111" s="16"/>
      <c r="AC111" s="16"/>
    </row>
    <row r="112" spans="1:29">
      <c r="A112" s="121"/>
      <c r="B112" s="82"/>
      <c r="C112" s="224" t="s">
        <v>430</v>
      </c>
      <c r="D112" s="92"/>
      <c r="E112" s="501"/>
      <c r="F112" s="501"/>
      <c r="G112" s="501"/>
      <c r="H112" s="501"/>
      <c r="I112" s="506"/>
      <c r="J112" s="506"/>
      <c r="K112" s="506"/>
      <c r="L112" s="506"/>
      <c r="M112" s="540"/>
      <c r="N112" s="558"/>
      <c r="O112" s="573"/>
      <c r="P112" s="530"/>
      <c r="Q112" s="540"/>
      <c r="R112" s="558"/>
      <c r="S112" s="573"/>
      <c r="T112" s="530"/>
      <c r="U112" s="647"/>
      <c r="V112" s="660"/>
      <c r="W112" s="660"/>
      <c r="X112" s="16"/>
      <c r="Y112" s="16"/>
      <c r="Z112" s="16"/>
      <c r="AA112" s="16"/>
      <c r="AB112" s="16"/>
      <c r="AC112" s="16"/>
    </row>
    <row r="113" spans="1:29" ht="30" customHeight="1">
      <c r="A113" s="121"/>
      <c r="B113" s="82"/>
      <c r="C113" s="65" t="str">
        <f>"Category A   " &amp; IFERROR(VLOOKUP(E108,AH:AI,2,FALSE),"")</f>
        <v xml:space="preserve">Category A   </v>
      </c>
      <c r="D113" s="92"/>
      <c r="E113" s="501"/>
      <c r="F113" s="501"/>
      <c r="G113" s="501"/>
      <c r="H113" s="501"/>
      <c r="I113" s="506"/>
      <c r="J113" s="506"/>
      <c r="K113" s="506"/>
      <c r="L113" s="506"/>
      <c r="M113" s="540"/>
      <c r="N113" s="558"/>
      <c r="O113" s="573"/>
      <c r="P113" s="530"/>
      <c r="Q113" s="540"/>
      <c r="R113" s="558"/>
      <c r="S113" s="573"/>
      <c r="T113" s="530"/>
      <c r="U113" s="647"/>
      <c r="V113" s="660"/>
      <c r="W113" s="660"/>
      <c r="X113" s="16"/>
      <c r="Y113" s="16"/>
      <c r="Z113" s="16"/>
      <c r="AA113" s="16"/>
      <c r="AB113" s="16"/>
      <c r="AC113" s="16"/>
    </row>
    <row r="114" spans="1:29" ht="30" customHeight="1">
      <c r="A114" s="121"/>
      <c r="B114" s="82"/>
      <c r="C114" s="65" t="str">
        <f>"Category B   " &amp; IFERROR(VLOOKUP(F108,AH:AI,2,FALSE),"")</f>
        <v xml:space="preserve">Category B   </v>
      </c>
      <c r="D114" s="92"/>
      <c r="E114" s="501"/>
      <c r="F114" s="501"/>
      <c r="G114" s="501"/>
      <c r="H114" s="501"/>
      <c r="I114" s="506"/>
      <c r="J114" s="506"/>
      <c r="K114" s="506"/>
      <c r="L114" s="506"/>
      <c r="M114" s="540"/>
      <c r="N114" s="558"/>
      <c r="O114" s="573"/>
      <c r="P114" s="530"/>
      <c r="Q114" s="540"/>
      <c r="R114" s="558"/>
      <c r="S114" s="573"/>
      <c r="T114" s="530"/>
      <c r="U114" s="647"/>
      <c r="V114" s="660"/>
      <c r="W114" s="660"/>
      <c r="X114" s="16"/>
      <c r="Y114" s="16"/>
      <c r="Z114" s="16"/>
      <c r="AA114" s="16"/>
      <c r="AB114" s="16"/>
      <c r="AC114" s="16"/>
    </row>
    <row r="115" spans="1:29" ht="30" customHeight="1">
      <c r="A115" s="121"/>
      <c r="B115" s="82"/>
      <c r="C115" s="65" t="str">
        <f>"Category C   " &amp; IFERROR(VLOOKUP(G108,AH:AI,2,FALSE),"")</f>
        <v xml:space="preserve">Category C   </v>
      </c>
      <c r="D115" s="92"/>
      <c r="E115" s="501"/>
      <c r="F115" s="501"/>
      <c r="G115" s="501"/>
      <c r="H115" s="501"/>
      <c r="I115" s="506"/>
      <c r="J115" s="506"/>
      <c r="K115" s="506"/>
      <c r="L115" s="506"/>
      <c r="M115" s="540"/>
      <c r="N115" s="558"/>
      <c r="O115" s="573"/>
      <c r="P115" s="530"/>
      <c r="Q115" s="540"/>
      <c r="R115" s="558"/>
      <c r="S115" s="573"/>
      <c r="T115" s="530"/>
      <c r="U115" s="647"/>
      <c r="V115" s="660"/>
      <c r="W115" s="660"/>
      <c r="X115" s="16"/>
      <c r="Y115" s="16"/>
      <c r="Z115" s="16"/>
      <c r="AA115" s="16"/>
      <c r="AB115" s="16"/>
      <c r="AC115" s="16"/>
    </row>
    <row r="116" spans="1:29" ht="30" customHeight="1">
      <c r="A116" s="122"/>
      <c r="B116" s="183"/>
      <c r="C116" s="193" t="str">
        <f>"Category D   " &amp; IFERROR(VLOOKUP(H108,AH:AI,2,FALSE),"")</f>
        <v xml:space="preserve">Category D   </v>
      </c>
      <c r="D116" s="192"/>
      <c r="E116" s="501"/>
      <c r="F116" s="501"/>
      <c r="G116" s="501"/>
      <c r="H116" s="501"/>
      <c r="I116" s="506"/>
      <c r="J116" s="506"/>
      <c r="K116" s="506"/>
      <c r="L116" s="506"/>
      <c r="M116" s="540"/>
      <c r="N116" s="558"/>
      <c r="O116" s="573"/>
      <c r="P116" s="530"/>
      <c r="Q116" s="540"/>
      <c r="R116" s="558"/>
      <c r="S116" s="573"/>
      <c r="T116" s="530"/>
      <c r="U116" s="647"/>
      <c r="V116" s="660"/>
      <c r="W116" s="660"/>
      <c r="X116" s="16"/>
      <c r="Y116" s="16"/>
      <c r="Z116" s="16"/>
      <c r="AA116" s="16"/>
      <c r="AB116" s="16"/>
      <c r="AC116" s="16"/>
    </row>
    <row r="117" spans="1:29" ht="22.5" customHeight="1">
      <c r="A117" s="120" t="s">
        <v>377</v>
      </c>
      <c r="B117" s="139"/>
      <c r="C117" s="161" t="s">
        <v>589</v>
      </c>
      <c r="D117" s="351"/>
      <c r="E117" s="501" t="str">
        <f>IF(Q117&lt;&gt;"",Q117,"")</f>
        <v/>
      </c>
      <c r="F117" s="501" t="str">
        <f>IF(R117&lt;&gt;"",R117,"")</f>
        <v/>
      </c>
      <c r="G117" s="501" t="str">
        <f>IF(S117&lt;&gt;"",S117,"")</f>
        <v/>
      </c>
      <c r="H117" s="501" t="str">
        <f>IF(T117&lt;&gt;"",T117,"")</f>
        <v/>
      </c>
      <c r="I117" s="506" t="str">
        <f>IF(Q117="NA","NA",IF(AND(Q117&lt;&gt;"",OR(Q117="NS",Q117&gt;=0)),1,"-"))</f>
        <v>-</v>
      </c>
      <c r="J117" s="506" t="str">
        <f>IF(R117="NA","NA",IF(AND(R117&lt;&gt;"",OR(R117="NS",R117&gt;=0)),1,"-"))</f>
        <v>-</v>
      </c>
      <c r="K117" s="506" t="str">
        <f>IF(S117="NA","NA",IF(AND(S117&lt;&gt;"",OR(S117="NS",S117&gt;=0)),1,"-"))</f>
        <v>-</v>
      </c>
      <c r="L117" s="506" t="str">
        <f>IF(T117="NA","NA",IF(AND(T117&lt;&gt;"",OR(T117="NS",T117&gt;=0)),1,"-"))</f>
        <v>-</v>
      </c>
      <c r="M117" s="540"/>
      <c r="N117" s="558"/>
      <c r="O117" s="573"/>
      <c r="P117" s="530"/>
      <c r="Q117" s="540"/>
      <c r="R117" s="558"/>
      <c r="S117" s="573"/>
      <c r="T117" s="530"/>
      <c r="U117" s="647"/>
      <c r="V117" s="660" t="e">
        <f>IF(COUNTIF(Q117:T124,"NA")/COUNTA(Q117:T124)=1,"NA","")</f>
        <v>#DIV/0!</v>
      </c>
      <c r="W117" s="654" t="str">
        <f>IF(COUNTIF(Q117:T124,0)&gt;0,0,"")</f>
        <v/>
      </c>
      <c r="X117" s="16"/>
      <c r="Y117" s="16"/>
      <c r="Z117" s="16"/>
      <c r="AA117" s="16"/>
      <c r="AB117" s="16"/>
      <c r="AC117" s="16"/>
    </row>
    <row r="118" spans="1:29" ht="25.5">
      <c r="A118" s="379" t="s">
        <v>182</v>
      </c>
      <c r="B118" s="82"/>
      <c r="C118" s="60" t="s">
        <v>310</v>
      </c>
      <c r="D118" s="92"/>
      <c r="E118" s="501"/>
      <c r="F118" s="501"/>
      <c r="G118" s="501"/>
      <c r="H118" s="501"/>
      <c r="I118" s="506"/>
      <c r="J118" s="506"/>
      <c r="K118" s="506"/>
      <c r="L118" s="506"/>
      <c r="M118" s="540"/>
      <c r="N118" s="558"/>
      <c r="O118" s="573"/>
      <c r="P118" s="530"/>
      <c r="Q118" s="540"/>
      <c r="R118" s="558"/>
      <c r="S118" s="573"/>
      <c r="T118" s="530"/>
      <c r="U118" s="647"/>
      <c r="V118" s="660"/>
      <c r="W118" s="655"/>
      <c r="X118" s="16"/>
      <c r="Y118" s="16"/>
      <c r="Z118" s="16"/>
      <c r="AA118" s="16"/>
      <c r="AB118" s="16"/>
      <c r="AC118" s="16"/>
    </row>
    <row r="119" spans="1:29">
      <c r="A119" s="121"/>
      <c r="B119" s="82"/>
      <c r="C119" s="60"/>
      <c r="D119" s="92"/>
      <c r="E119" s="501"/>
      <c r="F119" s="501"/>
      <c r="G119" s="501"/>
      <c r="H119" s="501"/>
      <c r="I119" s="506"/>
      <c r="J119" s="506"/>
      <c r="K119" s="506"/>
      <c r="L119" s="506"/>
      <c r="M119" s="540"/>
      <c r="N119" s="558"/>
      <c r="O119" s="573"/>
      <c r="P119" s="530"/>
      <c r="Q119" s="540"/>
      <c r="R119" s="558"/>
      <c r="S119" s="573"/>
      <c r="T119" s="530"/>
      <c r="U119" s="647"/>
      <c r="V119" s="660"/>
      <c r="W119" s="655"/>
      <c r="X119" s="16"/>
      <c r="Y119" s="16"/>
      <c r="Z119" s="16"/>
      <c r="AA119" s="16"/>
      <c r="AB119" s="16"/>
      <c r="AC119" s="16"/>
    </row>
    <row r="120" spans="1:29">
      <c r="A120" s="121"/>
      <c r="B120" s="82"/>
      <c r="C120" s="224" t="s">
        <v>430</v>
      </c>
      <c r="D120" s="92"/>
      <c r="E120" s="501"/>
      <c r="F120" s="501"/>
      <c r="G120" s="501"/>
      <c r="H120" s="501"/>
      <c r="I120" s="506"/>
      <c r="J120" s="506"/>
      <c r="K120" s="506"/>
      <c r="L120" s="506"/>
      <c r="M120" s="540"/>
      <c r="N120" s="558"/>
      <c r="O120" s="573"/>
      <c r="P120" s="530"/>
      <c r="Q120" s="540"/>
      <c r="R120" s="558"/>
      <c r="S120" s="573"/>
      <c r="T120" s="530"/>
      <c r="U120" s="647"/>
      <c r="V120" s="660"/>
      <c r="W120" s="655"/>
      <c r="X120" s="16"/>
      <c r="Y120" s="16"/>
      <c r="Z120" s="16"/>
      <c r="AA120" s="16"/>
      <c r="AB120" s="16"/>
      <c r="AC120" s="16"/>
    </row>
    <row r="121" spans="1:29" ht="30" customHeight="1">
      <c r="A121" s="121"/>
      <c r="B121" s="82"/>
      <c r="C121" s="65" t="str">
        <f>"Category A   " &amp; IFERROR(VLOOKUP(E117,AH:AI,2,FALSE),"")</f>
        <v xml:space="preserve">Category A   </v>
      </c>
      <c r="D121" s="92"/>
      <c r="E121" s="501"/>
      <c r="F121" s="501"/>
      <c r="G121" s="501"/>
      <c r="H121" s="501"/>
      <c r="I121" s="506"/>
      <c r="J121" s="506"/>
      <c r="K121" s="506"/>
      <c r="L121" s="506"/>
      <c r="M121" s="540"/>
      <c r="N121" s="558"/>
      <c r="O121" s="573"/>
      <c r="P121" s="530"/>
      <c r="Q121" s="540"/>
      <c r="R121" s="558"/>
      <c r="S121" s="573"/>
      <c r="T121" s="530"/>
      <c r="U121" s="647"/>
      <c r="V121" s="660"/>
      <c r="W121" s="655"/>
      <c r="X121" s="16"/>
      <c r="Y121" s="16"/>
      <c r="Z121" s="16"/>
      <c r="AA121" s="16"/>
      <c r="AB121" s="16"/>
      <c r="AC121" s="16"/>
    </row>
    <row r="122" spans="1:29" ht="30" customHeight="1">
      <c r="A122" s="121"/>
      <c r="B122" s="82"/>
      <c r="C122" s="65" t="str">
        <f>"Category B   " &amp; IFERROR(VLOOKUP(F117,AH:AI,2,FALSE),"")</f>
        <v xml:space="preserve">Category B   </v>
      </c>
      <c r="D122" s="92"/>
      <c r="E122" s="501"/>
      <c r="F122" s="501"/>
      <c r="G122" s="501"/>
      <c r="H122" s="501"/>
      <c r="I122" s="506"/>
      <c r="J122" s="506"/>
      <c r="K122" s="506"/>
      <c r="L122" s="506"/>
      <c r="M122" s="540"/>
      <c r="N122" s="558"/>
      <c r="O122" s="573"/>
      <c r="P122" s="530"/>
      <c r="Q122" s="540"/>
      <c r="R122" s="558"/>
      <c r="S122" s="573"/>
      <c r="T122" s="530"/>
      <c r="U122" s="647"/>
      <c r="V122" s="660"/>
      <c r="W122" s="655"/>
      <c r="X122" s="16"/>
      <c r="Y122" s="16"/>
      <c r="Z122" s="16"/>
      <c r="AA122" s="16"/>
      <c r="AB122" s="16"/>
      <c r="AC122" s="16"/>
    </row>
    <row r="123" spans="1:29" ht="30" customHeight="1">
      <c r="A123" s="121"/>
      <c r="B123" s="82"/>
      <c r="C123" s="65" t="str">
        <f>"Category C   " &amp; IFERROR(VLOOKUP(G117,AH:AI,2,FALSE),"")</f>
        <v xml:space="preserve">Category C   </v>
      </c>
      <c r="D123" s="92"/>
      <c r="E123" s="501"/>
      <c r="F123" s="501"/>
      <c r="G123" s="501"/>
      <c r="H123" s="501"/>
      <c r="I123" s="506"/>
      <c r="J123" s="506"/>
      <c r="K123" s="506"/>
      <c r="L123" s="506"/>
      <c r="M123" s="540"/>
      <c r="N123" s="558"/>
      <c r="O123" s="573"/>
      <c r="P123" s="530"/>
      <c r="Q123" s="540"/>
      <c r="R123" s="558"/>
      <c r="S123" s="573"/>
      <c r="T123" s="530"/>
      <c r="U123" s="647"/>
      <c r="V123" s="660"/>
      <c r="W123" s="655"/>
      <c r="X123" s="16"/>
      <c r="Y123" s="16"/>
      <c r="Z123" s="16"/>
      <c r="AA123" s="16"/>
      <c r="AB123" s="16"/>
      <c r="AC123" s="16"/>
    </row>
    <row r="124" spans="1:29" ht="30" customHeight="1">
      <c r="A124" s="122"/>
      <c r="B124" s="183"/>
      <c r="C124" s="193" t="str">
        <f>"Category D   " &amp; IFERROR(VLOOKUP(H117,AH:AI,2,FALSE),"")</f>
        <v xml:space="preserve">Category D   </v>
      </c>
      <c r="D124" s="192"/>
      <c r="E124" s="501"/>
      <c r="F124" s="501"/>
      <c r="G124" s="501"/>
      <c r="H124" s="501"/>
      <c r="I124" s="506"/>
      <c r="J124" s="506"/>
      <c r="K124" s="506"/>
      <c r="L124" s="506"/>
      <c r="M124" s="540"/>
      <c r="N124" s="558"/>
      <c r="O124" s="573"/>
      <c r="P124" s="530"/>
      <c r="Q124" s="540"/>
      <c r="R124" s="558"/>
      <c r="S124" s="573"/>
      <c r="T124" s="530"/>
      <c r="U124" s="648"/>
      <c r="V124" s="660"/>
      <c r="W124" s="656"/>
      <c r="X124" s="16"/>
      <c r="Y124" s="16"/>
      <c r="Z124" s="16"/>
      <c r="AA124" s="16"/>
      <c r="AB124" s="16"/>
      <c r="AC124" s="16"/>
    </row>
    <row r="125" spans="1:29" ht="22.5" customHeight="1">
      <c r="A125" s="120" t="s">
        <v>311</v>
      </c>
      <c r="B125" s="139"/>
      <c r="C125" s="161" t="s">
        <v>312</v>
      </c>
      <c r="D125" s="351"/>
      <c r="E125" s="501" t="str">
        <f>IF(Q125&lt;&gt;"",Q125,"")</f>
        <v/>
      </c>
      <c r="F125" s="501" t="str">
        <f>IF(R125&lt;&gt;"",R125,"")</f>
        <v/>
      </c>
      <c r="G125" s="501" t="str">
        <f>IF(S125&lt;&gt;"",S125,"")</f>
        <v/>
      </c>
      <c r="H125" s="501" t="str">
        <f>IF(T125&lt;&gt;"",T125,"")</f>
        <v/>
      </c>
      <c r="I125" s="506" t="str">
        <f>IF(Q125="NA","NA",IF(AND(Q125&lt;&gt;"",OR(Q125="NS",Q125&gt;=0)),1,"-"))</f>
        <v>-</v>
      </c>
      <c r="J125" s="506" t="str">
        <f>IF(R125="NA","NA",IF(AND(R125&lt;&gt;"",OR(R125="NS",R125&gt;=0)),1,"-"))</f>
        <v>-</v>
      </c>
      <c r="K125" s="506" t="str">
        <f>IF(S125="NA","NA",IF(AND(S125&lt;&gt;"",OR(S125="NS",S125&gt;=0)),1,"-"))</f>
        <v>-</v>
      </c>
      <c r="L125" s="506" t="str">
        <f>IF(T125="NA","NA",IF(AND(T125&lt;&gt;"",OR(T125="NS",T125&gt;=0)),1,"-"))</f>
        <v>-</v>
      </c>
      <c r="M125" s="540"/>
      <c r="N125" s="558"/>
      <c r="O125" s="573"/>
      <c r="P125" s="530"/>
      <c r="Q125" s="540"/>
      <c r="R125" s="558"/>
      <c r="S125" s="573"/>
      <c r="T125" s="530"/>
      <c r="U125" s="646" t="s">
        <v>146</v>
      </c>
      <c r="V125" s="654" t="e">
        <f>IF(COUNTIF(Q125:T133,"NA")/COUNTA(Q125:T133)=1,"NA","")</f>
        <v>#DIV/0!</v>
      </c>
      <c r="W125" s="660" t="str">
        <f>IF(COUNTIF(Q125:T133,0)&gt;0,0,"")</f>
        <v/>
      </c>
      <c r="X125" s="16"/>
      <c r="Y125" s="16"/>
      <c r="Z125" s="16"/>
      <c r="AA125" s="16"/>
      <c r="AB125" s="16"/>
      <c r="AC125" s="16"/>
    </row>
    <row r="126" spans="1:29" ht="22.5" customHeight="1">
      <c r="A126" s="379" t="s">
        <v>182</v>
      </c>
      <c r="B126" s="82"/>
      <c r="C126" s="86" t="s">
        <v>590</v>
      </c>
      <c r="D126" s="92"/>
      <c r="E126" s="501"/>
      <c r="F126" s="501"/>
      <c r="G126" s="501"/>
      <c r="H126" s="501"/>
      <c r="I126" s="506"/>
      <c r="J126" s="506"/>
      <c r="K126" s="506"/>
      <c r="L126" s="506"/>
      <c r="M126" s="540"/>
      <c r="N126" s="558"/>
      <c r="O126" s="573"/>
      <c r="P126" s="530"/>
      <c r="Q126" s="540"/>
      <c r="R126" s="558"/>
      <c r="S126" s="573"/>
      <c r="T126" s="530"/>
      <c r="U126" s="647"/>
      <c r="V126" s="655"/>
      <c r="W126" s="660"/>
      <c r="X126" s="16"/>
      <c r="Y126" s="16"/>
      <c r="Z126" s="16"/>
      <c r="AA126" s="16"/>
      <c r="AB126" s="16"/>
      <c r="AC126" s="16"/>
    </row>
    <row r="127" spans="1:29" ht="25.5">
      <c r="A127" s="123"/>
      <c r="B127" s="61"/>
      <c r="C127" s="60" t="s">
        <v>313</v>
      </c>
      <c r="D127" s="92"/>
      <c r="E127" s="501"/>
      <c r="F127" s="501"/>
      <c r="G127" s="501"/>
      <c r="H127" s="501"/>
      <c r="I127" s="506"/>
      <c r="J127" s="506"/>
      <c r="K127" s="506"/>
      <c r="L127" s="506"/>
      <c r="M127" s="540"/>
      <c r="N127" s="558"/>
      <c r="O127" s="573"/>
      <c r="P127" s="530"/>
      <c r="Q127" s="540"/>
      <c r="R127" s="558"/>
      <c r="S127" s="573"/>
      <c r="T127" s="530"/>
      <c r="U127" s="647"/>
      <c r="V127" s="655"/>
      <c r="W127" s="660"/>
      <c r="X127" s="16"/>
      <c r="Y127" s="16"/>
      <c r="Z127" s="16"/>
      <c r="AA127" s="16"/>
      <c r="AB127" s="16"/>
      <c r="AC127" s="16"/>
    </row>
    <row r="128" spans="1:29">
      <c r="A128" s="123"/>
      <c r="B128" s="61"/>
      <c r="C128" s="60"/>
      <c r="D128" s="92"/>
      <c r="E128" s="501"/>
      <c r="F128" s="501"/>
      <c r="G128" s="501"/>
      <c r="H128" s="501"/>
      <c r="I128" s="506"/>
      <c r="J128" s="506"/>
      <c r="K128" s="506"/>
      <c r="L128" s="506"/>
      <c r="M128" s="540"/>
      <c r="N128" s="558"/>
      <c r="O128" s="573"/>
      <c r="P128" s="530"/>
      <c r="Q128" s="540"/>
      <c r="R128" s="558"/>
      <c r="S128" s="573"/>
      <c r="T128" s="530"/>
      <c r="U128" s="647"/>
      <c r="V128" s="655"/>
      <c r="W128" s="660"/>
      <c r="X128" s="16"/>
      <c r="Y128" s="16"/>
      <c r="Z128" s="16"/>
      <c r="AA128" s="16"/>
      <c r="AB128" s="16"/>
      <c r="AC128" s="16"/>
    </row>
    <row r="129" spans="1:29">
      <c r="A129" s="121"/>
      <c r="B129" s="82"/>
      <c r="C129" s="224" t="s">
        <v>430</v>
      </c>
      <c r="D129" s="92"/>
      <c r="E129" s="501"/>
      <c r="F129" s="501"/>
      <c r="G129" s="501"/>
      <c r="H129" s="501"/>
      <c r="I129" s="506"/>
      <c r="J129" s="506"/>
      <c r="K129" s="506"/>
      <c r="L129" s="506"/>
      <c r="M129" s="540"/>
      <c r="N129" s="558"/>
      <c r="O129" s="573"/>
      <c r="P129" s="530"/>
      <c r="Q129" s="540"/>
      <c r="R129" s="558"/>
      <c r="S129" s="573"/>
      <c r="T129" s="530"/>
      <c r="U129" s="647"/>
      <c r="V129" s="655"/>
      <c r="W129" s="660"/>
      <c r="X129" s="16"/>
      <c r="Y129" s="16"/>
      <c r="Z129" s="16"/>
      <c r="AA129" s="16"/>
      <c r="AB129" s="16"/>
      <c r="AC129" s="16"/>
    </row>
    <row r="130" spans="1:29" ht="30" customHeight="1">
      <c r="A130" s="121"/>
      <c r="B130" s="82"/>
      <c r="C130" s="65" t="str">
        <f>"Category A   " &amp; IFERROR(VLOOKUP(E125,AH:AI,2,FALSE),"")</f>
        <v xml:space="preserve">Category A   </v>
      </c>
      <c r="D130" s="92"/>
      <c r="E130" s="501"/>
      <c r="F130" s="501"/>
      <c r="G130" s="501"/>
      <c r="H130" s="501"/>
      <c r="I130" s="506"/>
      <c r="J130" s="506"/>
      <c r="K130" s="506"/>
      <c r="L130" s="506"/>
      <c r="M130" s="540"/>
      <c r="N130" s="558"/>
      <c r="O130" s="573"/>
      <c r="P130" s="530"/>
      <c r="Q130" s="540"/>
      <c r="R130" s="558"/>
      <c r="S130" s="573"/>
      <c r="T130" s="530"/>
      <c r="U130" s="647"/>
      <c r="V130" s="655"/>
      <c r="W130" s="660"/>
      <c r="X130" s="16"/>
      <c r="Y130" s="16"/>
      <c r="Z130" s="16"/>
      <c r="AA130" s="16"/>
      <c r="AB130" s="16"/>
      <c r="AC130" s="16"/>
    </row>
    <row r="131" spans="1:29" ht="30" customHeight="1">
      <c r="A131" s="121"/>
      <c r="B131" s="82"/>
      <c r="C131" s="65" t="str">
        <f>"Category B   " &amp; IFERROR(VLOOKUP(F125,AH:AI,2,FALSE),"")</f>
        <v xml:space="preserve">Category B   </v>
      </c>
      <c r="D131" s="92"/>
      <c r="E131" s="501"/>
      <c r="F131" s="501"/>
      <c r="G131" s="501"/>
      <c r="H131" s="501"/>
      <c r="I131" s="506"/>
      <c r="J131" s="506"/>
      <c r="K131" s="506"/>
      <c r="L131" s="506"/>
      <c r="M131" s="540"/>
      <c r="N131" s="558"/>
      <c r="O131" s="573"/>
      <c r="P131" s="530"/>
      <c r="Q131" s="540"/>
      <c r="R131" s="558"/>
      <c r="S131" s="573"/>
      <c r="T131" s="530"/>
      <c r="U131" s="647"/>
      <c r="V131" s="655"/>
      <c r="W131" s="660"/>
      <c r="X131" s="16"/>
      <c r="Y131" s="16"/>
      <c r="Z131" s="16"/>
      <c r="AA131" s="16"/>
      <c r="AB131" s="16"/>
      <c r="AC131" s="16"/>
    </row>
    <row r="132" spans="1:29" ht="30" customHeight="1">
      <c r="A132" s="121"/>
      <c r="B132" s="82"/>
      <c r="C132" s="65" t="str">
        <f>"Category C   " &amp; IFERROR(VLOOKUP(G125,AH:AI,2,FALSE),"")</f>
        <v xml:space="preserve">Category C   </v>
      </c>
      <c r="D132" s="92"/>
      <c r="E132" s="501"/>
      <c r="F132" s="501"/>
      <c r="G132" s="501"/>
      <c r="H132" s="501"/>
      <c r="I132" s="506"/>
      <c r="J132" s="506"/>
      <c r="K132" s="506"/>
      <c r="L132" s="506"/>
      <c r="M132" s="540"/>
      <c r="N132" s="558"/>
      <c r="O132" s="573"/>
      <c r="P132" s="530"/>
      <c r="Q132" s="540"/>
      <c r="R132" s="558"/>
      <c r="S132" s="573"/>
      <c r="T132" s="530"/>
      <c r="U132" s="647"/>
      <c r="V132" s="655"/>
      <c r="W132" s="660"/>
      <c r="X132" s="16"/>
      <c r="Y132" s="16"/>
      <c r="Z132" s="16"/>
      <c r="AA132" s="16"/>
      <c r="AB132" s="16"/>
      <c r="AC132" s="16"/>
    </row>
    <row r="133" spans="1:29" ht="30" customHeight="1">
      <c r="A133" s="122"/>
      <c r="B133" s="183"/>
      <c r="C133" s="193" t="str">
        <f>"Category D   " &amp; IFERROR(VLOOKUP(H125,AH:AI,2,FALSE),"")</f>
        <v xml:space="preserve">Category D   </v>
      </c>
      <c r="D133" s="192"/>
      <c r="E133" s="501"/>
      <c r="F133" s="501"/>
      <c r="G133" s="501"/>
      <c r="H133" s="501"/>
      <c r="I133" s="506"/>
      <c r="J133" s="506"/>
      <c r="K133" s="506"/>
      <c r="L133" s="506"/>
      <c r="M133" s="540"/>
      <c r="N133" s="558"/>
      <c r="O133" s="573"/>
      <c r="P133" s="530"/>
      <c r="Q133" s="540"/>
      <c r="R133" s="558"/>
      <c r="S133" s="573"/>
      <c r="T133" s="530"/>
      <c r="U133" s="647"/>
      <c r="V133" s="655"/>
      <c r="W133" s="660"/>
      <c r="X133" s="16"/>
      <c r="Y133" s="16"/>
      <c r="Z133" s="16"/>
      <c r="AA133" s="16"/>
      <c r="AB133" s="16"/>
      <c r="AC133" s="16"/>
    </row>
    <row r="134" spans="1:29" ht="22.5" customHeight="1">
      <c r="A134" s="120" t="s">
        <v>314</v>
      </c>
      <c r="B134" s="139"/>
      <c r="C134" s="161" t="s">
        <v>555</v>
      </c>
      <c r="D134" s="351"/>
      <c r="E134" s="501" t="str">
        <f>IF(Q134=1,"1B",Q134)</f>
        <v>Insert No. of Credit(s) Here</v>
      </c>
      <c r="F134" s="501"/>
      <c r="G134" s="501"/>
      <c r="H134" s="501"/>
      <c r="I134" s="506" t="s">
        <v>60</v>
      </c>
      <c r="J134" s="506"/>
      <c r="K134" s="506"/>
      <c r="L134" s="506"/>
      <c r="M134" s="540" t="s">
        <v>435</v>
      </c>
      <c r="N134" s="540"/>
      <c r="O134" s="540"/>
      <c r="P134" s="540"/>
      <c r="Q134" s="540" t="s">
        <v>435</v>
      </c>
      <c r="R134" s="540"/>
      <c r="S134" s="540"/>
      <c r="T134" s="540"/>
      <c r="U134" s="647"/>
      <c r="V134" s="655" t="str">
        <f>IF(Q134="NA","NA","")</f>
        <v/>
      </c>
      <c r="W134" s="655" t="str">
        <f>IF(Q134=0,0,"")</f>
        <v/>
      </c>
      <c r="X134" s="16"/>
      <c r="Y134" s="16"/>
      <c r="Z134" s="16"/>
      <c r="AA134" s="16"/>
      <c r="AB134" s="16"/>
      <c r="AC134" s="16"/>
    </row>
    <row r="135" spans="1:29" ht="38.25">
      <c r="A135" s="379" t="s">
        <v>192</v>
      </c>
      <c r="B135" s="82"/>
      <c r="C135" s="60" t="s">
        <v>315</v>
      </c>
      <c r="D135" s="92"/>
      <c r="E135" s="501"/>
      <c r="F135" s="501"/>
      <c r="G135" s="501"/>
      <c r="H135" s="501"/>
      <c r="I135" s="506"/>
      <c r="J135" s="506"/>
      <c r="K135" s="506"/>
      <c r="L135" s="506"/>
      <c r="M135" s="540"/>
      <c r="N135" s="540"/>
      <c r="O135" s="540"/>
      <c r="P135" s="540"/>
      <c r="Q135" s="540"/>
      <c r="R135" s="540"/>
      <c r="S135" s="540"/>
      <c r="T135" s="540"/>
      <c r="U135" s="647"/>
      <c r="V135" s="655"/>
      <c r="W135" s="655"/>
      <c r="X135" s="16"/>
      <c r="Y135" s="16"/>
      <c r="Z135" s="16"/>
      <c r="AA135" s="16"/>
      <c r="AB135" s="16"/>
      <c r="AC135" s="16"/>
    </row>
    <row r="136" spans="1:29">
      <c r="A136" s="121"/>
      <c r="B136" s="82"/>
      <c r="C136" s="60"/>
      <c r="D136" s="92"/>
      <c r="E136" s="501"/>
      <c r="F136" s="501"/>
      <c r="G136" s="501"/>
      <c r="H136" s="501"/>
      <c r="I136" s="506"/>
      <c r="J136" s="506"/>
      <c r="K136" s="506"/>
      <c r="L136" s="506"/>
      <c r="M136" s="540"/>
      <c r="N136" s="540"/>
      <c r="O136" s="540"/>
      <c r="P136" s="540"/>
      <c r="Q136" s="540"/>
      <c r="R136" s="540"/>
      <c r="S136" s="540"/>
      <c r="T136" s="540"/>
      <c r="U136" s="647"/>
      <c r="V136" s="655"/>
      <c r="W136" s="655"/>
      <c r="X136" s="16"/>
      <c r="Y136" s="16"/>
      <c r="Z136" s="16"/>
      <c r="AA136" s="16"/>
      <c r="AB136" s="16"/>
      <c r="AC136" s="16"/>
    </row>
    <row r="137" spans="1:29">
      <c r="A137" s="121"/>
      <c r="B137" s="82"/>
      <c r="C137" s="224" t="s">
        <v>430</v>
      </c>
      <c r="D137" s="92"/>
      <c r="E137" s="501"/>
      <c r="F137" s="501"/>
      <c r="G137" s="501"/>
      <c r="H137" s="501"/>
      <c r="I137" s="506"/>
      <c r="J137" s="506"/>
      <c r="K137" s="506"/>
      <c r="L137" s="506"/>
      <c r="M137" s="540"/>
      <c r="N137" s="540"/>
      <c r="O137" s="540"/>
      <c r="P137" s="540"/>
      <c r="Q137" s="540"/>
      <c r="R137" s="540"/>
      <c r="S137" s="540"/>
      <c r="T137" s="540"/>
      <c r="U137" s="647"/>
      <c r="V137" s="655"/>
      <c r="W137" s="655"/>
      <c r="X137" s="16"/>
      <c r="Y137" s="16"/>
      <c r="Z137" s="16"/>
      <c r="AA137" s="16"/>
      <c r="AB137" s="16"/>
      <c r="AC137" s="16"/>
    </row>
    <row r="138" spans="1:29" ht="30" customHeight="1">
      <c r="A138" s="122"/>
      <c r="B138" s="183"/>
      <c r="C138" s="193" t="str">
        <f>IFERROR(VLOOKUP($E134,$AH:$AI,2,FALSE),"-")</f>
        <v>-</v>
      </c>
      <c r="D138" s="192"/>
      <c r="E138" s="501"/>
      <c r="F138" s="501"/>
      <c r="G138" s="501"/>
      <c r="H138" s="501"/>
      <c r="I138" s="506"/>
      <c r="J138" s="506"/>
      <c r="K138" s="506"/>
      <c r="L138" s="506"/>
      <c r="M138" s="540"/>
      <c r="N138" s="540"/>
      <c r="O138" s="540"/>
      <c r="P138" s="540"/>
      <c r="Q138" s="540"/>
      <c r="R138" s="540"/>
      <c r="S138" s="540"/>
      <c r="T138" s="540"/>
      <c r="U138" s="648"/>
      <c r="V138" s="656"/>
      <c r="W138" s="656"/>
      <c r="X138" s="16"/>
      <c r="Y138" s="16"/>
      <c r="Z138" s="16"/>
      <c r="AA138" s="16"/>
      <c r="AB138" s="16"/>
      <c r="AC138" s="16"/>
    </row>
    <row r="139" spans="1:29" ht="22.5" customHeight="1">
      <c r="A139" s="115">
        <v>6.5</v>
      </c>
      <c r="B139" s="126"/>
      <c r="C139" s="128" t="s">
        <v>147</v>
      </c>
      <c r="D139" s="191"/>
      <c r="E139" s="500"/>
      <c r="F139" s="500"/>
      <c r="G139" s="500"/>
      <c r="H139" s="500"/>
      <c r="I139" s="150"/>
      <c r="J139" s="126"/>
      <c r="K139" s="126"/>
      <c r="L139" s="126"/>
      <c r="M139" s="126"/>
      <c r="N139" s="126"/>
      <c r="O139" s="126"/>
      <c r="P139" s="126"/>
      <c r="Q139" s="126"/>
      <c r="R139" s="126"/>
      <c r="S139" s="126"/>
      <c r="T139" s="126"/>
      <c r="U139" s="127"/>
      <c r="V139" s="127"/>
      <c r="W139" s="127"/>
      <c r="X139" s="16"/>
      <c r="Y139" s="16"/>
      <c r="Z139" s="16"/>
      <c r="AA139" s="16"/>
      <c r="AB139" s="16"/>
      <c r="AC139" s="16"/>
    </row>
    <row r="140" spans="1:29" ht="22.5" customHeight="1">
      <c r="A140" s="120" t="s">
        <v>148</v>
      </c>
      <c r="B140" s="139"/>
      <c r="C140" s="161" t="s">
        <v>551</v>
      </c>
      <c r="D140" s="351"/>
      <c r="E140" s="501" t="str">
        <f>IF(Q140&lt;&gt;"",Q140,"")</f>
        <v/>
      </c>
      <c r="F140" s="501" t="str">
        <f>IF(R140&lt;&gt;"",R140,"")</f>
        <v/>
      </c>
      <c r="G140" s="501" t="str">
        <f>IF(S140&lt;&gt;"",S140,"")</f>
        <v/>
      </c>
      <c r="H140" s="501" t="str">
        <f>IF(T140&lt;&gt;"",T140,"")</f>
        <v/>
      </c>
      <c r="I140" s="506" t="str">
        <f>IF(Q140="NA","NA",IF(AND(Q140&lt;&gt;"",OR(Q140="NS",Q140&gt;=0)),1,"-"))</f>
        <v>-</v>
      </c>
      <c r="J140" s="506" t="str">
        <f>IF(R140="NA","NA",IF(AND(R140&lt;&gt;"",OR(R140="NS",R140&gt;=0)),1,"-"))</f>
        <v>-</v>
      </c>
      <c r="K140" s="506" t="str">
        <f>IF(S140="NA","NA",IF(AND(S140&lt;&gt;"",OR(S140="NS",S140&gt;=0)),1,"-"))</f>
        <v>-</v>
      </c>
      <c r="L140" s="506" t="str">
        <f>IF(T140="NA","NA",IF(AND(T140&lt;&gt;"",OR(T140="NS",T140&gt;=0)),1,"-"))</f>
        <v>-</v>
      </c>
      <c r="M140" s="540"/>
      <c r="N140" s="558"/>
      <c r="O140" s="573"/>
      <c r="P140" s="530"/>
      <c r="Q140" s="540"/>
      <c r="R140" s="558"/>
      <c r="S140" s="573"/>
      <c r="T140" s="530"/>
      <c r="U140" s="646" t="s">
        <v>5</v>
      </c>
      <c r="V140" s="654" t="e">
        <f>IF(COUNTIF(Q140:T148,"NA")/COUNTA(Q140:T148)=1,"NA","")</f>
        <v>#DIV/0!</v>
      </c>
      <c r="W140" s="660" t="str">
        <f>IF(COUNTIF(Q140:T148,0)&gt;0,0,"")</f>
        <v/>
      </c>
      <c r="X140" s="16"/>
      <c r="Y140" s="16"/>
      <c r="Z140" s="16"/>
      <c r="AA140" s="16"/>
      <c r="AB140" s="16"/>
      <c r="AC140" s="16"/>
    </row>
    <row r="141" spans="1:29" ht="22.5" customHeight="1">
      <c r="A141" s="124" t="s">
        <v>316</v>
      </c>
      <c r="B141" s="59"/>
      <c r="C141" s="86" t="s">
        <v>317</v>
      </c>
      <c r="D141" s="92"/>
      <c r="E141" s="501"/>
      <c r="F141" s="501"/>
      <c r="G141" s="501"/>
      <c r="H141" s="501"/>
      <c r="I141" s="506"/>
      <c r="J141" s="506"/>
      <c r="K141" s="506"/>
      <c r="L141" s="506"/>
      <c r="M141" s="540"/>
      <c r="N141" s="558"/>
      <c r="O141" s="573"/>
      <c r="P141" s="530"/>
      <c r="Q141" s="540"/>
      <c r="R141" s="558"/>
      <c r="S141" s="573"/>
      <c r="T141" s="530"/>
      <c r="U141" s="647"/>
      <c r="V141" s="655"/>
      <c r="W141" s="660"/>
      <c r="X141" s="16"/>
      <c r="Y141" s="16"/>
      <c r="Z141" s="16"/>
      <c r="AA141" s="16"/>
      <c r="AB141" s="16"/>
      <c r="AC141" s="16"/>
    </row>
    <row r="142" spans="1:29" ht="38.25">
      <c r="A142" s="379" t="s">
        <v>182</v>
      </c>
      <c r="B142" s="82"/>
      <c r="C142" s="60" t="s">
        <v>552</v>
      </c>
      <c r="D142" s="92"/>
      <c r="E142" s="501"/>
      <c r="F142" s="501"/>
      <c r="G142" s="501"/>
      <c r="H142" s="501"/>
      <c r="I142" s="506"/>
      <c r="J142" s="506"/>
      <c r="K142" s="506"/>
      <c r="L142" s="506"/>
      <c r="M142" s="540"/>
      <c r="N142" s="558"/>
      <c r="O142" s="573"/>
      <c r="P142" s="530"/>
      <c r="Q142" s="540"/>
      <c r="R142" s="558"/>
      <c r="S142" s="573"/>
      <c r="T142" s="530"/>
      <c r="U142" s="647"/>
      <c r="V142" s="655"/>
      <c r="W142" s="660"/>
      <c r="X142" s="16"/>
      <c r="Y142" s="16"/>
      <c r="Z142" s="16"/>
      <c r="AA142" s="16"/>
      <c r="AB142" s="16"/>
      <c r="AC142" s="16"/>
    </row>
    <row r="143" spans="1:29">
      <c r="A143" s="121"/>
      <c r="B143" s="82"/>
      <c r="C143" s="60"/>
      <c r="D143" s="92"/>
      <c r="E143" s="501"/>
      <c r="F143" s="501"/>
      <c r="G143" s="501"/>
      <c r="H143" s="501"/>
      <c r="I143" s="506"/>
      <c r="J143" s="506"/>
      <c r="K143" s="506"/>
      <c r="L143" s="506"/>
      <c r="M143" s="540"/>
      <c r="N143" s="558"/>
      <c r="O143" s="573"/>
      <c r="P143" s="530"/>
      <c r="Q143" s="540"/>
      <c r="R143" s="558"/>
      <c r="S143" s="573"/>
      <c r="T143" s="530"/>
      <c r="U143" s="647"/>
      <c r="V143" s="655"/>
      <c r="W143" s="660"/>
      <c r="X143" s="16"/>
      <c r="Y143" s="16"/>
      <c r="Z143" s="16"/>
      <c r="AA143" s="16"/>
      <c r="AB143" s="16"/>
      <c r="AC143" s="16"/>
    </row>
    <row r="144" spans="1:29">
      <c r="A144" s="121"/>
      <c r="B144" s="82"/>
      <c r="C144" s="224" t="s">
        <v>430</v>
      </c>
      <c r="D144" s="92"/>
      <c r="E144" s="501"/>
      <c r="F144" s="501"/>
      <c r="G144" s="501"/>
      <c r="H144" s="501"/>
      <c r="I144" s="506"/>
      <c r="J144" s="506"/>
      <c r="K144" s="506"/>
      <c r="L144" s="506"/>
      <c r="M144" s="540"/>
      <c r="N144" s="558"/>
      <c r="O144" s="573"/>
      <c r="P144" s="530"/>
      <c r="Q144" s="540"/>
      <c r="R144" s="558"/>
      <c r="S144" s="573"/>
      <c r="T144" s="530"/>
      <c r="U144" s="647"/>
      <c r="V144" s="655"/>
      <c r="W144" s="660"/>
      <c r="X144" s="16"/>
      <c r="Y144" s="16"/>
      <c r="Z144" s="16"/>
      <c r="AA144" s="16"/>
      <c r="AB144" s="16"/>
      <c r="AC144" s="16"/>
    </row>
    <row r="145" spans="1:29" ht="30" customHeight="1">
      <c r="A145" s="121"/>
      <c r="B145" s="82"/>
      <c r="C145" s="65" t="str">
        <f>"Category A   " &amp; IFERROR(VLOOKUP(E140,AH:AI,2,FALSE),"")</f>
        <v xml:space="preserve">Category A   </v>
      </c>
      <c r="D145" s="92"/>
      <c r="E145" s="501"/>
      <c r="F145" s="501"/>
      <c r="G145" s="501"/>
      <c r="H145" s="501"/>
      <c r="I145" s="506"/>
      <c r="J145" s="506"/>
      <c r="K145" s="506"/>
      <c r="L145" s="506"/>
      <c r="M145" s="540"/>
      <c r="N145" s="558"/>
      <c r="O145" s="573"/>
      <c r="P145" s="530"/>
      <c r="Q145" s="540"/>
      <c r="R145" s="558"/>
      <c r="S145" s="573"/>
      <c r="T145" s="530"/>
      <c r="U145" s="647"/>
      <c r="V145" s="655"/>
      <c r="W145" s="660"/>
      <c r="X145" s="16"/>
      <c r="Y145" s="16"/>
      <c r="Z145" s="16"/>
      <c r="AA145" s="16"/>
      <c r="AB145" s="16"/>
      <c r="AC145" s="16"/>
    </row>
    <row r="146" spans="1:29" ht="30" customHeight="1">
      <c r="A146" s="121"/>
      <c r="B146" s="82"/>
      <c r="C146" s="65" t="str">
        <f>"Category B   " &amp; IFERROR(VLOOKUP(F140,AH:AI,2,FALSE),"")</f>
        <v xml:space="preserve">Category B   </v>
      </c>
      <c r="D146" s="92"/>
      <c r="E146" s="501"/>
      <c r="F146" s="501"/>
      <c r="G146" s="501"/>
      <c r="H146" s="501"/>
      <c r="I146" s="506"/>
      <c r="J146" s="506"/>
      <c r="K146" s="506"/>
      <c r="L146" s="506"/>
      <c r="M146" s="540"/>
      <c r="N146" s="558"/>
      <c r="O146" s="573"/>
      <c r="P146" s="530"/>
      <c r="Q146" s="540"/>
      <c r="R146" s="558"/>
      <c r="S146" s="573"/>
      <c r="T146" s="530"/>
      <c r="U146" s="647"/>
      <c r="V146" s="655"/>
      <c r="W146" s="660"/>
      <c r="X146" s="16"/>
      <c r="Y146" s="16"/>
      <c r="Z146" s="16"/>
      <c r="AA146" s="16"/>
      <c r="AB146" s="16"/>
      <c r="AC146" s="16"/>
    </row>
    <row r="147" spans="1:29" ht="30" customHeight="1">
      <c r="A147" s="121"/>
      <c r="B147" s="82"/>
      <c r="C147" s="65" t="str">
        <f>"Category C   " &amp; IFERROR(VLOOKUP(G140,AH:AI,2,FALSE),"")</f>
        <v xml:space="preserve">Category C   </v>
      </c>
      <c r="D147" s="92"/>
      <c r="E147" s="501"/>
      <c r="F147" s="501"/>
      <c r="G147" s="501"/>
      <c r="H147" s="501"/>
      <c r="I147" s="506"/>
      <c r="J147" s="506"/>
      <c r="K147" s="506"/>
      <c r="L147" s="506"/>
      <c r="M147" s="540"/>
      <c r="N147" s="558"/>
      <c r="O147" s="573"/>
      <c r="P147" s="530"/>
      <c r="Q147" s="540"/>
      <c r="R147" s="558"/>
      <c r="S147" s="573"/>
      <c r="T147" s="530"/>
      <c r="U147" s="647"/>
      <c r="V147" s="655"/>
      <c r="W147" s="660"/>
      <c r="X147" s="16"/>
      <c r="Y147" s="16"/>
      <c r="Z147" s="16"/>
      <c r="AA147" s="16"/>
      <c r="AB147" s="16"/>
      <c r="AC147" s="16"/>
    </row>
    <row r="148" spans="1:29" ht="30" customHeight="1">
      <c r="A148" s="122"/>
      <c r="B148" s="183"/>
      <c r="C148" s="193" t="str">
        <f>"Category D   " &amp; IFERROR(VLOOKUP(H140,AH:AI,2,FALSE),"")</f>
        <v xml:space="preserve">Category D   </v>
      </c>
      <c r="D148" s="192"/>
      <c r="E148" s="501"/>
      <c r="F148" s="501"/>
      <c r="G148" s="501"/>
      <c r="H148" s="501"/>
      <c r="I148" s="506"/>
      <c r="J148" s="506"/>
      <c r="K148" s="506"/>
      <c r="L148" s="506"/>
      <c r="M148" s="540"/>
      <c r="N148" s="558"/>
      <c r="O148" s="573"/>
      <c r="P148" s="530"/>
      <c r="Q148" s="540"/>
      <c r="R148" s="558"/>
      <c r="S148" s="573"/>
      <c r="T148" s="530"/>
      <c r="U148" s="647"/>
      <c r="V148" s="655"/>
      <c r="W148" s="660"/>
      <c r="X148" s="16"/>
      <c r="Y148" s="16"/>
      <c r="Z148" s="16"/>
      <c r="AA148" s="16"/>
      <c r="AB148" s="16"/>
      <c r="AC148" s="16"/>
    </row>
    <row r="149" spans="1:29" ht="22.5" customHeight="1">
      <c r="A149" s="120" t="s">
        <v>318</v>
      </c>
      <c r="B149" s="139"/>
      <c r="C149" s="161" t="s">
        <v>554</v>
      </c>
      <c r="D149" s="351"/>
      <c r="E149" s="501" t="str">
        <f>IF(Q149&lt;&gt;"",Q149,"")</f>
        <v/>
      </c>
      <c r="F149" s="501" t="str">
        <f>IF(R149&lt;&gt;"",R149,"")</f>
        <v/>
      </c>
      <c r="G149" s="501" t="str">
        <f>IF(S149&lt;&gt;"",S149,"")</f>
        <v/>
      </c>
      <c r="H149" s="501" t="str">
        <f>IF(T149&lt;&gt;"",T149,"")</f>
        <v/>
      </c>
      <c r="I149" s="506" t="str">
        <f>IF(Q149="NA","NA",IF(AND(Q149&lt;&gt;"",OR(Q149="NS",Q149&gt;=0)),1,"-"))</f>
        <v>-</v>
      </c>
      <c r="J149" s="506" t="str">
        <f>IF(R149="NA","NA",IF(AND(R149&lt;&gt;"",OR(R149="NS",R149&gt;=0)),1,"-"))</f>
        <v>-</v>
      </c>
      <c r="K149" s="506" t="str">
        <f>IF(S149="NA","NA",IF(AND(S149&lt;&gt;"",OR(S149="NS",S149&gt;=0)),1,"-"))</f>
        <v>-</v>
      </c>
      <c r="L149" s="506" t="str">
        <f>IF(T149="NA","NA",IF(AND(T149&lt;&gt;"",OR(T149="NS",T149&gt;=0)),1,"-"))</f>
        <v>-</v>
      </c>
      <c r="M149" s="540"/>
      <c r="N149" s="558"/>
      <c r="O149" s="573"/>
      <c r="P149" s="530"/>
      <c r="Q149" s="540"/>
      <c r="R149" s="558"/>
      <c r="S149" s="573"/>
      <c r="T149" s="530"/>
      <c r="U149" s="647"/>
      <c r="V149" s="655" t="e">
        <f>IF(COUNTIF(Q149:T156,"NA")/COUNTA(Q149:T156)=1,"NA","")</f>
        <v>#DIV/0!</v>
      </c>
      <c r="W149" s="655" t="str">
        <f>IF(COUNTIF(Q149:T156,0)&gt;0,0,"")</f>
        <v/>
      </c>
      <c r="X149" s="16"/>
      <c r="Y149" s="16"/>
      <c r="Z149" s="16"/>
      <c r="AA149" s="16"/>
      <c r="AB149" s="16"/>
      <c r="AC149" s="16"/>
    </row>
    <row r="150" spans="1:29" ht="25.5">
      <c r="A150" s="379" t="s">
        <v>182</v>
      </c>
      <c r="B150" s="82"/>
      <c r="C150" s="60" t="s">
        <v>553</v>
      </c>
      <c r="D150" s="92"/>
      <c r="E150" s="501"/>
      <c r="F150" s="501"/>
      <c r="G150" s="501"/>
      <c r="H150" s="501"/>
      <c r="I150" s="506"/>
      <c r="J150" s="506"/>
      <c r="K150" s="506"/>
      <c r="L150" s="506"/>
      <c r="M150" s="540"/>
      <c r="N150" s="558"/>
      <c r="O150" s="573"/>
      <c r="P150" s="530"/>
      <c r="Q150" s="540"/>
      <c r="R150" s="558"/>
      <c r="S150" s="573"/>
      <c r="T150" s="530"/>
      <c r="U150" s="647"/>
      <c r="V150" s="655"/>
      <c r="W150" s="655"/>
      <c r="X150" s="16"/>
      <c r="Y150" s="16"/>
      <c r="Z150" s="16"/>
      <c r="AA150" s="16"/>
      <c r="AB150" s="16"/>
      <c r="AC150" s="16"/>
    </row>
    <row r="151" spans="1:29">
      <c r="A151" s="121"/>
      <c r="B151" s="82"/>
      <c r="C151" s="60"/>
      <c r="D151" s="92"/>
      <c r="E151" s="501"/>
      <c r="F151" s="501"/>
      <c r="G151" s="501"/>
      <c r="H151" s="501"/>
      <c r="I151" s="506"/>
      <c r="J151" s="506"/>
      <c r="K151" s="506"/>
      <c r="L151" s="506"/>
      <c r="M151" s="540"/>
      <c r="N151" s="558"/>
      <c r="O151" s="573"/>
      <c r="P151" s="530"/>
      <c r="Q151" s="540"/>
      <c r="R151" s="558"/>
      <c r="S151" s="573"/>
      <c r="T151" s="530"/>
      <c r="U151" s="647"/>
      <c r="V151" s="655"/>
      <c r="W151" s="655"/>
      <c r="X151" s="16"/>
      <c r="Y151" s="16"/>
      <c r="Z151" s="16"/>
      <c r="AA151" s="16"/>
      <c r="AB151" s="16"/>
      <c r="AC151" s="16"/>
    </row>
    <row r="152" spans="1:29">
      <c r="A152" s="121"/>
      <c r="B152" s="82"/>
      <c r="C152" s="224" t="s">
        <v>430</v>
      </c>
      <c r="D152" s="92"/>
      <c r="E152" s="501"/>
      <c r="F152" s="501"/>
      <c r="G152" s="501"/>
      <c r="H152" s="501"/>
      <c r="I152" s="506"/>
      <c r="J152" s="506"/>
      <c r="K152" s="506"/>
      <c r="L152" s="506"/>
      <c r="M152" s="540"/>
      <c r="N152" s="558"/>
      <c r="O152" s="573"/>
      <c r="P152" s="530"/>
      <c r="Q152" s="540"/>
      <c r="R152" s="558"/>
      <c r="S152" s="573"/>
      <c r="T152" s="530"/>
      <c r="U152" s="647"/>
      <c r="V152" s="655"/>
      <c r="W152" s="655"/>
      <c r="X152" s="16"/>
      <c r="Y152" s="16"/>
      <c r="Z152" s="16"/>
      <c r="AA152" s="16"/>
      <c r="AB152" s="16"/>
      <c r="AC152" s="16"/>
    </row>
    <row r="153" spans="1:29" ht="30" customHeight="1">
      <c r="A153" s="121"/>
      <c r="B153" s="82"/>
      <c r="C153" s="65" t="str">
        <f>"Category A   " &amp; IFERROR(VLOOKUP(E149,AH:AI,2,FALSE),"")</f>
        <v xml:space="preserve">Category A   </v>
      </c>
      <c r="D153" s="92"/>
      <c r="E153" s="501"/>
      <c r="F153" s="501"/>
      <c r="G153" s="501"/>
      <c r="H153" s="501"/>
      <c r="I153" s="506"/>
      <c r="J153" s="506"/>
      <c r="K153" s="506"/>
      <c r="L153" s="506"/>
      <c r="M153" s="540"/>
      <c r="N153" s="558"/>
      <c r="O153" s="573"/>
      <c r="P153" s="530"/>
      <c r="Q153" s="540"/>
      <c r="R153" s="558"/>
      <c r="S153" s="573"/>
      <c r="T153" s="530"/>
      <c r="U153" s="647"/>
      <c r="V153" s="655"/>
      <c r="W153" s="655"/>
      <c r="X153" s="16"/>
      <c r="Y153" s="16"/>
      <c r="Z153" s="16"/>
      <c r="AA153" s="16"/>
      <c r="AB153" s="16"/>
      <c r="AC153" s="16"/>
    </row>
    <row r="154" spans="1:29" ht="30" customHeight="1">
      <c r="A154" s="121"/>
      <c r="B154" s="82"/>
      <c r="C154" s="65" t="str">
        <f>"Category B   " &amp; IFERROR(VLOOKUP(F149,AH:AI,2,FALSE),"")</f>
        <v xml:space="preserve">Category B   </v>
      </c>
      <c r="D154" s="92"/>
      <c r="E154" s="501"/>
      <c r="F154" s="501"/>
      <c r="G154" s="501"/>
      <c r="H154" s="501"/>
      <c r="I154" s="506"/>
      <c r="J154" s="506"/>
      <c r="K154" s="506"/>
      <c r="L154" s="506"/>
      <c r="M154" s="540"/>
      <c r="N154" s="558"/>
      <c r="O154" s="573"/>
      <c r="P154" s="530"/>
      <c r="Q154" s="540"/>
      <c r="R154" s="558"/>
      <c r="S154" s="573"/>
      <c r="T154" s="530"/>
      <c r="U154" s="647"/>
      <c r="V154" s="655"/>
      <c r="W154" s="655"/>
      <c r="X154" s="16"/>
      <c r="Y154" s="16"/>
      <c r="Z154" s="16"/>
      <c r="AA154" s="16"/>
      <c r="AB154" s="16"/>
      <c r="AC154" s="16"/>
    </row>
    <row r="155" spans="1:29" ht="30" customHeight="1">
      <c r="A155" s="121"/>
      <c r="B155" s="82"/>
      <c r="C155" s="65" t="str">
        <f>"Category C   " &amp; IFERROR(VLOOKUP(G149,AH:AI,2,FALSE),"")</f>
        <v xml:space="preserve">Category C   </v>
      </c>
      <c r="D155" s="92"/>
      <c r="E155" s="501"/>
      <c r="F155" s="501"/>
      <c r="G155" s="501"/>
      <c r="H155" s="501"/>
      <c r="I155" s="506"/>
      <c r="J155" s="506"/>
      <c r="K155" s="506"/>
      <c r="L155" s="506"/>
      <c r="M155" s="540"/>
      <c r="N155" s="558"/>
      <c r="O155" s="573"/>
      <c r="P155" s="530"/>
      <c r="Q155" s="540"/>
      <c r="R155" s="558"/>
      <c r="S155" s="573"/>
      <c r="T155" s="530"/>
      <c r="U155" s="647"/>
      <c r="V155" s="655"/>
      <c r="W155" s="655"/>
      <c r="X155" s="16"/>
      <c r="Y155" s="16"/>
      <c r="Z155" s="16"/>
      <c r="AA155" s="16"/>
      <c r="AB155" s="16"/>
      <c r="AC155" s="16"/>
    </row>
    <row r="156" spans="1:29" ht="30" customHeight="1">
      <c r="A156" s="122"/>
      <c r="B156" s="183"/>
      <c r="C156" s="193" t="str">
        <f>"Category D   " &amp; IFERROR(VLOOKUP(H149,AH:AI,2,FALSE),"")</f>
        <v xml:space="preserve">Category D   </v>
      </c>
      <c r="D156" s="192"/>
      <c r="E156" s="501"/>
      <c r="F156" s="501"/>
      <c r="G156" s="501"/>
      <c r="H156" s="501"/>
      <c r="I156" s="506"/>
      <c r="J156" s="506"/>
      <c r="K156" s="506"/>
      <c r="L156" s="506"/>
      <c r="M156" s="540"/>
      <c r="N156" s="558"/>
      <c r="O156" s="573"/>
      <c r="P156" s="530"/>
      <c r="Q156" s="540"/>
      <c r="R156" s="558"/>
      <c r="S156" s="573"/>
      <c r="T156" s="530"/>
      <c r="U156" s="648"/>
      <c r="V156" s="656"/>
      <c r="W156" s="656"/>
      <c r="X156" s="16"/>
      <c r="Y156" s="16"/>
      <c r="Z156" s="16"/>
      <c r="AA156" s="16"/>
      <c r="AB156" s="16"/>
      <c r="AC156" s="16"/>
    </row>
    <row r="157" spans="1:29" ht="22.5" customHeight="1">
      <c r="A157" s="120" t="s">
        <v>149</v>
      </c>
      <c r="B157" s="139"/>
      <c r="C157" s="161" t="s">
        <v>320</v>
      </c>
      <c r="D157" s="351"/>
      <c r="E157" s="501" t="str">
        <f>IF(Q157&lt;&gt;"",Q157,"")</f>
        <v/>
      </c>
      <c r="F157" s="501" t="str">
        <f>IF(R157&lt;&gt;"",R157,"")</f>
        <v/>
      </c>
      <c r="G157" s="501" t="str">
        <f>IF(S157&lt;&gt;"",S157,"")</f>
        <v/>
      </c>
      <c r="H157" s="501" t="str">
        <f>IF(T157&lt;&gt;"",T157,"")</f>
        <v/>
      </c>
      <c r="I157" s="506" t="str">
        <f>IF(Q157="NA","NA",IF(AND(Q157&lt;&gt;"",OR(Q157="NS",Q157&gt;=0)),1,"-"))</f>
        <v>-</v>
      </c>
      <c r="J157" s="506" t="str">
        <f>IF(R157="NA","NA",IF(AND(R157&lt;&gt;"",OR(R157="NS",R157&gt;=0)),1,"-"))</f>
        <v>-</v>
      </c>
      <c r="K157" s="506" t="str">
        <f>IF(S157="NA","NA",IF(AND(S157&lt;&gt;"",OR(S157="NS",S157&gt;=0)),1,"-"))</f>
        <v>-</v>
      </c>
      <c r="L157" s="506" t="str">
        <f>IF(T157="NA","NA",IF(AND(T157&lt;&gt;"",OR(T157="NS",T157&gt;=0)),1,"-"))</f>
        <v>-</v>
      </c>
      <c r="M157" s="540"/>
      <c r="N157" s="558"/>
      <c r="O157" s="573"/>
      <c r="P157" s="530"/>
      <c r="Q157" s="540"/>
      <c r="R157" s="558"/>
      <c r="S157" s="573"/>
      <c r="T157" s="530"/>
      <c r="U157" s="646" t="s">
        <v>150</v>
      </c>
      <c r="V157" s="654" t="e">
        <f>IF(COUNTIF(Q157:T165,"NA")/COUNTA(Q157:T165)=1,"NA","")</f>
        <v>#DIV/0!</v>
      </c>
      <c r="W157" s="660" t="str">
        <f>IF(COUNTIF(Q157:T165,0)&gt;0,0,"")</f>
        <v/>
      </c>
      <c r="X157" s="16"/>
      <c r="Y157" s="16"/>
      <c r="Z157" s="16"/>
      <c r="AA157" s="16"/>
      <c r="AB157" s="16"/>
      <c r="AC157" s="16"/>
    </row>
    <row r="158" spans="1:29" ht="22.5" customHeight="1">
      <c r="A158" s="124" t="s">
        <v>319</v>
      </c>
      <c r="B158" s="59"/>
      <c r="C158" s="86" t="s">
        <v>321</v>
      </c>
      <c r="D158" s="92"/>
      <c r="E158" s="501"/>
      <c r="F158" s="501"/>
      <c r="G158" s="501"/>
      <c r="H158" s="501"/>
      <c r="I158" s="506"/>
      <c r="J158" s="506"/>
      <c r="K158" s="506"/>
      <c r="L158" s="506"/>
      <c r="M158" s="540"/>
      <c r="N158" s="558"/>
      <c r="O158" s="573"/>
      <c r="P158" s="530"/>
      <c r="Q158" s="540"/>
      <c r="R158" s="558"/>
      <c r="S158" s="573"/>
      <c r="T158" s="530"/>
      <c r="U158" s="647"/>
      <c r="V158" s="655"/>
      <c r="W158" s="660"/>
      <c r="X158" s="16"/>
      <c r="Y158" s="16"/>
      <c r="Z158" s="16"/>
      <c r="AA158" s="16"/>
      <c r="AB158" s="16"/>
      <c r="AC158" s="16"/>
    </row>
    <row r="159" spans="1:29" ht="114.75">
      <c r="A159" s="379" t="s">
        <v>182</v>
      </c>
      <c r="B159" s="82"/>
      <c r="C159" s="92" t="s">
        <v>556</v>
      </c>
      <c r="D159" s="92"/>
      <c r="E159" s="501"/>
      <c r="F159" s="501"/>
      <c r="G159" s="501"/>
      <c r="H159" s="501"/>
      <c r="I159" s="506"/>
      <c r="J159" s="506"/>
      <c r="K159" s="506"/>
      <c r="L159" s="506"/>
      <c r="M159" s="540"/>
      <c r="N159" s="558"/>
      <c r="O159" s="573"/>
      <c r="P159" s="530"/>
      <c r="Q159" s="540"/>
      <c r="R159" s="558"/>
      <c r="S159" s="573"/>
      <c r="T159" s="530"/>
      <c r="U159" s="647"/>
      <c r="V159" s="655"/>
      <c r="W159" s="660"/>
      <c r="X159" s="16"/>
      <c r="Y159" s="16"/>
      <c r="Z159" s="16"/>
      <c r="AA159" s="16"/>
      <c r="AB159" s="16"/>
      <c r="AC159" s="16"/>
    </row>
    <row r="160" spans="1:29">
      <c r="A160" s="123"/>
      <c r="B160" s="61"/>
      <c r="C160" s="85"/>
      <c r="D160" s="92"/>
      <c r="E160" s="501"/>
      <c r="F160" s="501"/>
      <c r="G160" s="501"/>
      <c r="H160" s="501"/>
      <c r="I160" s="506"/>
      <c r="J160" s="506"/>
      <c r="K160" s="506"/>
      <c r="L160" s="506"/>
      <c r="M160" s="540"/>
      <c r="N160" s="558"/>
      <c r="O160" s="573"/>
      <c r="P160" s="530"/>
      <c r="Q160" s="540"/>
      <c r="R160" s="558"/>
      <c r="S160" s="573"/>
      <c r="T160" s="530"/>
      <c r="U160" s="647"/>
      <c r="V160" s="655"/>
      <c r="W160" s="660"/>
      <c r="X160" s="16"/>
      <c r="Y160" s="16"/>
      <c r="Z160" s="16"/>
      <c r="AA160" s="16"/>
      <c r="AB160" s="16"/>
      <c r="AC160" s="16"/>
    </row>
    <row r="161" spans="1:29">
      <c r="A161" s="121"/>
      <c r="B161" s="82"/>
      <c r="C161" s="224" t="s">
        <v>430</v>
      </c>
      <c r="D161" s="92"/>
      <c r="E161" s="501"/>
      <c r="F161" s="501"/>
      <c r="G161" s="501"/>
      <c r="H161" s="501"/>
      <c r="I161" s="506"/>
      <c r="J161" s="506"/>
      <c r="K161" s="506"/>
      <c r="L161" s="506"/>
      <c r="M161" s="540"/>
      <c r="N161" s="558"/>
      <c r="O161" s="573"/>
      <c r="P161" s="530"/>
      <c r="Q161" s="540"/>
      <c r="R161" s="558"/>
      <c r="S161" s="573"/>
      <c r="T161" s="530"/>
      <c r="U161" s="647"/>
      <c r="V161" s="655"/>
      <c r="W161" s="660"/>
      <c r="X161" s="16"/>
      <c r="Y161" s="16"/>
      <c r="Z161" s="16"/>
      <c r="AA161" s="16"/>
      <c r="AB161" s="16"/>
      <c r="AC161" s="16"/>
    </row>
    <row r="162" spans="1:29" ht="30" customHeight="1">
      <c r="A162" s="121"/>
      <c r="B162" s="82"/>
      <c r="C162" s="65" t="str">
        <f>"Category A   " &amp; IFERROR(VLOOKUP(E157,AH:AI,2,FALSE),"")</f>
        <v xml:space="preserve">Category A   </v>
      </c>
      <c r="D162" s="92"/>
      <c r="E162" s="501"/>
      <c r="F162" s="501"/>
      <c r="G162" s="501"/>
      <c r="H162" s="501"/>
      <c r="I162" s="506"/>
      <c r="J162" s="506"/>
      <c r="K162" s="506"/>
      <c r="L162" s="506"/>
      <c r="M162" s="540"/>
      <c r="N162" s="558"/>
      <c r="O162" s="573"/>
      <c r="P162" s="530"/>
      <c r="Q162" s="540"/>
      <c r="R162" s="558"/>
      <c r="S162" s="573"/>
      <c r="T162" s="530"/>
      <c r="U162" s="647"/>
      <c r="V162" s="655"/>
      <c r="W162" s="660"/>
      <c r="X162" s="16"/>
      <c r="Y162" s="16"/>
      <c r="Z162" s="16"/>
      <c r="AA162" s="16"/>
      <c r="AB162" s="16"/>
      <c r="AC162" s="16"/>
    </row>
    <row r="163" spans="1:29" ht="30" customHeight="1">
      <c r="A163" s="121"/>
      <c r="B163" s="82"/>
      <c r="C163" s="65" t="str">
        <f>"Category B   " &amp; IFERROR(VLOOKUP(F157,AH:AI,2,FALSE),"")</f>
        <v xml:space="preserve">Category B   </v>
      </c>
      <c r="D163" s="92"/>
      <c r="E163" s="501"/>
      <c r="F163" s="501"/>
      <c r="G163" s="501"/>
      <c r="H163" s="501"/>
      <c r="I163" s="506"/>
      <c r="J163" s="506"/>
      <c r="K163" s="506"/>
      <c r="L163" s="506"/>
      <c r="M163" s="540"/>
      <c r="N163" s="558"/>
      <c r="O163" s="573"/>
      <c r="P163" s="530"/>
      <c r="Q163" s="540"/>
      <c r="R163" s="558"/>
      <c r="S163" s="573"/>
      <c r="T163" s="530"/>
      <c r="U163" s="647"/>
      <c r="V163" s="655"/>
      <c r="W163" s="660"/>
      <c r="X163" s="16"/>
      <c r="Y163" s="16"/>
      <c r="Z163" s="16"/>
      <c r="AA163" s="16"/>
      <c r="AB163" s="16"/>
      <c r="AC163" s="16"/>
    </row>
    <row r="164" spans="1:29" ht="30" customHeight="1">
      <c r="A164" s="121"/>
      <c r="B164" s="82"/>
      <c r="C164" s="65" t="str">
        <f>"Category C   " &amp; IFERROR(VLOOKUP(G157,AH:AI,2,FALSE),"")</f>
        <v xml:space="preserve">Category C   </v>
      </c>
      <c r="D164" s="92"/>
      <c r="E164" s="501"/>
      <c r="F164" s="501"/>
      <c r="G164" s="501"/>
      <c r="H164" s="501"/>
      <c r="I164" s="506"/>
      <c r="J164" s="506"/>
      <c r="K164" s="506"/>
      <c r="L164" s="506"/>
      <c r="M164" s="540"/>
      <c r="N164" s="558"/>
      <c r="O164" s="573"/>
      <c r="P164" s="530"/>
      <c r="Q164" s="540"/>
      <c r="R164" s="558"/>
      <c r="S164" s="573"/>
      <c r="T164" s="530"/>
      <c r="U164" s="647"/>
      <c r="V164" s="655"/>
      <c r="W164" s="660"/>
      <c r="X164" s="16"/>
      <c r="Y164" s="16"/>
      <c r="Z164" s="16"/>
      <c r="AA164" s="16"/>
      <c r="AB164" s="16"/>
      <c r="AC164" s="16"/>
    </row>
    <row r="165" spans="1:29" ht="30" customHeight="1">
      <c r="A165" s="122"/>
      <c r="B165" s="183"/>
      <c r="C165" s="193" t="str">
        <f>"Category D   " &amp; IFERROR(VLOOKUP(H157,AH:AI,2,FALSE),"")</f>
        <v xml:space="preserve">Category D   </v>
      </c>
      <c r="D165" s="192"/>
      <c r="E165" s="501"/>
      <c r="F165" s="501"/>
      <c r="G165" s="501"/>
      <c r="H165" s="501"/>
      <c r="I165" s="506"/>
      <c r="J165" s="506"/>
      <c r="K165" s="506"/>
      <c r="L165" s="506"/>
      <c r="M165" s="540"/>
      <c r="N165" s="558"/>
      <c r="O165" s="573"/>
      <c r="P165" s="530"/>
      <c r="Q165" s="540"/>
      <c r="R165" s="558"/>
      <c r="S165" s="573"/>
      <c r="T165" s="530"/>
      <c r="U165" s="647"/>
      <c r="V165" s="655"/>
      <c r="W165" s="660"/>
      <c r="X165" s="16"/>
      <c r="Y165" s="16"/>
      <c r="Z165" s="16"/>
      <c r="AA165" s="16"/>
      <c r="AB165" s="16"/>
      <c r="AC165" s="16"/>
    </row>
    <row r="166" spans="1:29" ht="22.5" customHeight="1">
      <c r="A166" s="120" t="s">
        <v>322</v>
      </c>
      <c r="B166" s="139"/>
      <c r="C166" s="161" t="s">
        <v>591</v>
      </c>
      <c r="D166" s="351"/>
      <c r="E166" s="501" t="str">
        <f>IF(Q166&lt;&gt;"",Q166,"")</f>
        <v/>
      </c>
      <c r="F166" s="501" t="str">
        <f>IF(R166&lt;&gt;"",R166,"")</f>
        <v/>
      </c>
      <c r="G166" s="501" t="str">
        <f>IF(S166&lt;&gt;"",S166,"")</f>
        <v/>
      </c>
      <c r="H166" s="501" t="str">
        <f>IF(T166&lt;&gt;"",T166,"")</f>
        <v/>
      </c>
      <c r="I166" s="506" t="str">
        <f>IF(Q166="NA","NA",IF(AND(Q166&lt;&gt;"",OR(Q166="NS",Q166&gt;=0)),1,"-"))</f>
        <v>-</v>
      </c>
      <c r="J166" s="506" t="str">
        <f>IF(R166="NA","NA",IF(AND(R166&lt;&gt;"",OR(R166="NS",R166&gt;=0)),1,"-"))</f>
        <v>-</v>
      </c>
      <c r="K166" s="506" t="str">
        <f>IF(S166="NA","NA",IF(AND(S166&lt;&gt;"",OR(S166="NS",S166&gt;=0)),1,"-"))</f>
        <v>-</v>
      </c>
      <c r="L166" s="506" t="str">
        <f>IF(T166="NA","NA",IF(AND(T166&lt;&gt;"",OR(T166="NS",T166&gt;=0)),1,"-"))</f>
        <v>-</v>
      </c>
      <c r="M166" s="540"/>
      <c r="N166" s="558"/>
      <c r="O166" s="573"/>
      <c r="P166" s="530"/>
      <c r="Q166" s="540"/>
      <c r="R166" s="558"/>
      <c r="S166" s="573"/>
      <c r="T166" s="530"/>
      <c r="U166" s="647"/>
      <c r="V166" s="655" t="e">
        <f>IF(COUNTIF(Q166:T173,"NA")/COUNTA(Q166:T173)=1,"NA","")</f>
        <v>#DIV/0!</v>
      </c>
      <c r="W166" s="655" t="str">
        <f>IF(COUNTIF(Q166:T173,0)&gt;0,0,"")</f>
        <v/>
      </c>
      <c r="X166" s="16"/>
      <c r="Y166" s="16"/>
      <c r="Z166" s="16"/>
      <c r="AA166" s="16"/>
      <c r="AB166" s="16"/>
      <c r="AC166" s="16"/>
    </row>
    <row r="167" spans="1:29" ht="38.25">
      <c r="A167" s="379" t="s">
        <v>182</v>
      </c>
      <c r="B167" s="82"/>
      <c r="C167" s="92" t="s">
        <v>557</v>
      </c>
      <c r="D167" s="92"/>
      <c r="E167" s="501"/>
      <c r="F167" s="501"/>
      <c r="G167" s="501"/>
      <c r="H167" s="501"/>
      <c r="I167" s="506"/>
      <c r="J167" s="506"/>
      <c r="K167" s="506"/>
      <c r="L167" s="506"/>
      <c r="M167" s="540"/>
      <c r="N167" s="558"/>
      <c r="O167" s="573"/>
      <c r="P167" s="530"/>
      <c r="Q167" s="540"/>
      <c r="R167" s="558"/>
      <c r="S167" s="573"/>
      <c r="T167" s="530"/>
      <c r="U167" s="647"/>
      <c r="V167" s="655"/>
      <c r="W167" s="655"/>
      <c r="X167" s="16"/>
      <c r="Y167" s="16"/>
      <c r="Z167" s="16"/>
      <c r="AA167" s="16"/>
      <c r="AB167" s="16"/>
      <c r="AC167" s="16"/>
    </row>
    <row r="168" spans="1:29">
      <c r="A168" s="121"/>
      <c r="B168" s="82"/>
      <c r="C168" s="85"/>
      <c r="D168" s="92"/>
      <c r="E168" s="501"/>
      <c r="F168" s="501"/>
      <c r="G168" s="501"/>
      <c r="H168" s="501"/>
      <c r="I168" s="506"/>
      <c r="J168" s="506"/>
      <c r="K168" s="506"/>
      <c r="L168" s="506"/>
      <c r="M168" s="540"/>
      <c r="N168" s="558"/>
      <c r="O168" s="573"/>
      <c r="P168" s="530"/>
      <c r="Q168" s="540"/>
      <c r="R168" s="558"/>
      <c r="S168" s="573"/>
      <c r="T168" s="530"/>
      <c r="U168" s="647"/>
      <c r="V168" s="655"/>
      <c r="W168" s="655"/>
      <c r="X168" s="16"/>
      <c r="Y168" s="16"/>
      <c r="Z168" s="16"/>
      <c r="AA168" s="16"/>
      <c r="AB168" s="16"/>
      <c r="AC168" s="16"/>
    </row>
    <row r="169" spans="1:29">
      <c r="A169" s="121"/>
      <c r="B169" s="82"/>
      <c r="C169" s="224" t="s">
        <v>430</v>
      </c>
      <c r="D169" s="92"/>
      <c r="E169" s="501"/>
      <c r="F169" s="501"/>
      <c r="G169" s="501"/>
      <c r="H169" s="501"/>
      <c r="I169" s="506"/>
      <c r="J169" s="506"/>
      <c r="K169" s="506"/>
      <c r="L169" s="506"/>
      <c r="M169" s="540"/>
      <c r="N169" s="558"/>
      <c r="O169" s="573"/>
      <c r="P169" s="530"/>
      <c r="Q169" s="540"/>
      <c r="R169" s="558"/>
      <c r="S169" s="573"/>
      <c r="T169" s="530"/>
      <c r="U169" s="647"/>
      <c r="V169" s="655"/>
      <c r="W169" s="655"/>
      <c r="X169" s="16"/>
      <c r="Y169" s="16"/>
      <c r="Z169" s="16"/>
      <c r="AA169" s="16"/>
      <c r="AB169" s="16"/>
      <c r="AC169" s="16"/>
    </row>
    <row r="170" spans="1:29" ht="30" customHeight="1">
      <c r="A170" s="121"/>
      <c r="B170" s="82"/>
      <c r="C170" s="65" t="str">
        <f>"Category A   " &amp; IFERROR(VLOOKUP(E166,AH:AI,2,FALSE),"")</f>
        <v xml:space="preserve">Category A   </v>
      </c>
      <c r="D170" s="92"/>
      <c r="E170" s="501"/>
      <c r="F170" s="501"/>
      <c r="G170" s="501"/>
      <c r="H170" s="501"/>
      <c r="I170" s="506"/>
      <c r="J170" s="506"/>
      <c r="K170" s="506"/>
      <c r="L170" s="506"/>
      <c r="M170" s="540"/>
      <c r="N170" s="558"/>
      <c r="O170" s="573"/>
      <c r="P170" s="530"/>
      <c r="Q170" s="540"/>
      <c r="R170" s="558"/>
      <c r="S170" s="573"/>
      <c r="T170" s="530"/>
      <c r="U170" s="647"/>
      <c r="V170" s="655"/>
      <c r="W170" s="655"/>
      <c r="X170" s="16"/>
      <c r="Y170" s="16"/>
      <c r="Z170" s="16"/>
      <c r="AA170" s="16"/>
      <c r="AB170" s="16"/>
      <c r="AC170" s="16"/>
    </row>
    <row r="171" spans="1:29" ht="30" customHeight="1">
      <c r="A171" s="121"/>
      <c r="B171" s="82"/>
      <c r="C171" s="65" t="str">
        <f>"Category B   " &amp; IFERROR(VLOOKUP(F166,AH:AI,2,FALSE),"")</f>
        <v xml:space="preserve">Category B   </v>
      </c>
      <c r="D171" s="92"/>
      <c r="E171" s="501"/>
      <c r="F171" s="501"/>
      <c r="G171" s="501"/>
      <c r="H171" s="501"/>
      <c r="I171" s="506"/>
      <c r="J171" s="506"/>
      <c r="K171" s="506"/>
      <c r="L171" s="506"/>
      <c r="M171" s="540"/>
      <c r="N171" s="558"/>
      <c r="O171" s="573"/>
      <c r="P171" s="530"/>
      <c r="Q171" s="540"/>
      <c r="R171" s="558"/>
      <c r="S171" s="573"/>
      <c r="T171" s="530"/>
      <c r="U171" s="647"/>
      <c r="V171" s="655"/>
      <c r="W171" s="655"/>
      <c r="X171" s="16"/>
      <c r="Y171" s="16"/>
      <c r="Z171" s="16"/>
      <c r="AA171" s="16"/>
      <c r="AB171" s="16"/>
      <c r="AC171" s="16"/>
    </row>
    <row r="172" spans="1:29" ht="30" customHeight="1">
      <c r="A172" s="121"/>
      <c r="B172" s="82"/>
      <c r="C172" s="65" t="str">
        <f>"Category C   " &amp; IFERROR(VLOOKUP(G166,AH:AI,2,FALSE),"")</f>
        <v xml:space="preserve">Category C   </v>
      </c>
      <c r="D172" s="92"/>
      <c r="E172" s="501"/>
      <c r="F172" s="501"/>
      <c r="G172" s="501"/>
      <c r="H172" s="501"/>
      <c r="I172" s="506"/>
      <c r="J172" s="506"/>
      <c r="K172" s="506"/>
      <c r="L172" s="506"/>
      <c r="M172" s="540"/>
      <c r="N172" s="558"/>
      <c r="O172" s="573"/>
      <c r="P172" s="530"/>
      <c r="Q172" s="540"/>
      <c r="R172" s="558"/>
      <c r="S172" s="573"/>
      <c r="T172" s="530"/>
      <c r="U172" s="647"/>
      <c r="V172" s="655"/>
      <c r="W172" s="655"/>
      <c r="X172" s="16"/>
      <c r="Y172" s="16"/>
      <c r="Z172" s="16"/>
      <c r="AA172" s="16"/>
      <c r="AB172" s="16"/>
      <c r="AC172" s="16"/>
    </row>
    <row r="173" spans="1:29" ht="30" customHeight="1">
      <c r="A173" s="122"/>
      <c r="B173" s="183"/>
      <c r="C173" s="193" t="str">
        <f>"Category D   " &amp; IFERROR(VLOOKUP(H166,AH:AI,2,FALSE),"")</f>
        <v xml:space="preserve">Category D   </v>
      </c>
      <c r="D173" s="192"/>
      <c r="E173" s="501"/>
      <c r="F173" s="501"/>
      <c r="G173" s="501"/>
      <c r="H173" s="501"/>
      <c r="I173" s="506"/>
      <c r="J173" s="506"/>
      <c r="K173" s="506"/>
      <c r="L173" s="506"/>
      <c r="M173" s="540"/>
      <c r="N173" s="558"/>
      <c r="O173" s="573"/>
      <c r="P173" s="530"/>
      <c r="Q173" s="540"/>
      <c r="R173" s="558"/>
      <c r="S173" s="573"/>
      <c r="T173" s="530"/>
      <c r="U173" s="648"/>
      <c r="V173" s="656"/>
      <c r="W173" s="656"/>
      <c r="X173" s="16"/>
      <c r="Y173" s="16"/>
      <c r="Z173" s="16"/>
      <c r="AA173" s="16"/>
      <c r="AB173" s="16"/>
      <c r="AC173" s="16"/>
    </row>
    <row r="174" spans="1:29" ht="22.5" customHeight="1">
      <c r="A174" s="115">
        <v>6.6</v>
      </c>
      <c r="B174" s="126"/>
      <c r="C174" s="128" t="s">
        <v>151</v>
      </c>
      <c r="D174" s="191"/>
      <c r="E174" s="500"/>
      <c r="F174" s="500"/>
      <c r="G174" s="500"/>
      <c r="H174" s="500"/>
      <c r="I174" s="150"/>
      <c r="J174" s="126"/>
      <c r="K174" s="126"/>
      <c r="L174" s="126"/>
      <c r="M174" s="126"/>
      <c r="N174" s="126"/>
      <c r="O174" s="126"/>
      <c r="P174" s="126"/>
      <c r="Q174" s="126"/>
      <c r="R174" s="126"/>
      <c r="S174" s="126"/>
      <c r="T174" s="126"/>
      <c r="U174" s="127"/>
      <c r="V174" s="127"/>
      <c r="W174" s="127"/>
      <c r="X174" s="16"/>
      <c r="Y174" s="16"/>
      <c r="Z174" s="16"/>
      <c r="AA174" s="16"/>
      <c r="AB174" s="16"/>
      <c r="AC174" s="16"/>
    </row>
    <row r="175" spans="1:29" ht="22.5" customHeight="1">
      <c r="A175" s="120" t="s">
        <v>152</v>
      </c>
      <c r="B175" s="139"/>
      <c r="C175" s="161" t="s">
        <v>323</v>
      </c>
      <c r="D175" s="351"/>
      <c r="E175" s="501" t="str">
        <f>IF(Q175&lt;&gt;"",Q175,"")</f>
        <v/>
      </c>
      <c r="F175" s="501" t="str">
        <f>IF(R175&lt;&gt;"",R175,"")</f>
        <v/>
      </c>
      <c r="G175" s="501" t="str">
        <f>IF(S175&lt;&gt;"",S175,"")</f>
        <v/>
      </c>
      <c r="H175" s="501" t="str">
        <f>IF(T175&lt;&gt;"",T175,"")</f>
        <v/>
      </c>
      <c r="I175" s="493" t="str">
        <f>IF(Q175="NA","NA",IF(AND(Q175&lt;&gt;"",OR(Q175="NS",Q175&gt;=0)),2,"-"))</f>
        <v>-</v>
      </c>
      <c r="J175" s="493" t="str">
        <f>IF(R175="NA","NA",IF(AND(R175&lt;&gt;"",OR(R175="NS",R175&gt;=0)),2,"-"))</f>
        <v>-</v>
      </c>
      <c r="K175" s="493" t="str">
        <f>IF(S175="NA","NA",IF(AND(S175&lt;&gt;"",OR(S175="NS",S175&gt;=0)),2,"-"))</f>
        <v>-</v>
      </c>
      <c r="L175" s="493" t="str">
        <f>IF(T175="NA","NA",IF(AND(T175&lt;&gt;"",OR(T175="NS",T175&gt;=0)),2,"-"))</f>
        <v>-</v>
      </c>
      <c r="M175" s="514"/>
      <c r="N175" s="558"/>
      <c r="O175" s="573"/>
      <c r="P175" s="530"/>
      <c r="Q175" s="514"/>
      <c r="R175" s="558"/>
      <c r="S175" s="573"/>
      <c r="T175" s="530"/>
      <c r="U175" s="654"/>
      <c r="V175" s="654" t="e">
        <f>IF(COUNTIF(Q175:T182,"NA")/COUNTA(Q175:T182)=1,"NA","")</f>
        <v>#DIV/0!</v>
      </c>
      <c r="W175" s="655" t="str">
        <f>IF(COUNTIF(Q175:T182,0)&gt;0,0,"")</f>
        <v/>
      </c>
      <c r="X175" s="16"/>
      <c r="Y175" s="16"/>
      <c r="Z175" s="16"/>
      <c r="AA175" s="16"/>
      <c r="AB175" s="16"/>
      <c r="AC175" s="16"/>
    </row>
    <row r="176" spans="1:29" ht="51">
      <c r="A176" s="379" t="s">
        <v>178</v>
      </c>
      <c r="B176" s="82"/>
      <c r="C176" s="60" t="s">
        <v>558</v>
      </c>
      <c r="D176" s="92"/>
      <c r="E176" s="501"/>
      <c r="F176" s="501"/>
      <c r="G176" s="501"/>
      <c r="H176" s="501"/>
      <c r="I176" s="491"/>
      <c r="J176" s="491"/>
      <c r="K176" s="491"/>
      <c r="L176" s="491"/>
      <c r="M176" s="515"/>
      <c r="N176" s="558"/>
      <c r="O176" s="573"/>
      <c r="P176" s="530"/>
      <c r="Q176" s="515"/>
      <c r="R176" s="558"/>
      <c r="S176" s="573"/>
      <c r="T176" s="530"/>
      <c r="U176" s="655"/>
      <c r="V176" s="655"/>
      <c r="W176" s="655"/>
      <c r="X176" s="16"/>
      <c r="Y176" s="16"/>
      <c r="Z176" s="16"/>
      <c r="AA176" s="16"/>
      <c r="AB176" s="16"/>
      <c r="AC176" s="16"/>
    </row>
    <row r="177" spans="1:29">
      <c r="A177" s="123"/>
      <c r="B177" s="61"/>
      <c r="C177" s="60"/>
      <c r="D177" s="92"/>
      <c r="E177" s="501"/>
      <c r="F177" s="501"/>
      <c r="G177" s="501"/>
      <c r="H177" s="501"/>
      <c r="I177" s="491"/>
      <c r="J177" s="491"/>
      <c r="K177" s="491"/>
      <c r="L177" s="491"/>
      <c r="M177" s="515"/>
      <c r="N177" s="558"/>
      <c r="O177" s="573"/>
      <c r="P177" s="530"/>
      <c r="Q177" s="515"/>
      <c r="R177" s="558"/>
      <c r="S177" s="573"/>
      <c r="T177" s="530"/>
      <c r="U177" s="655"/>
      <c r="V177" s="655"/>
      <c r="W177" s="655"/>
      <c r="X177" s="16"/>
      <c r="Y177" s="16"/>
      <c r="Z177" s="16"/>
      <c r="AA177" s="16"/>
      <c r="AB177" s="16"/>
      <c r="AC177" s="16"/>
    </row>
    <row r="178" spans="1:29">
      <c r="A178" s="121"/>
      <c r="B178" s="82"/>
      <c r="C178" s="224" t="s">
        <v>430</v>
      </c>
      <c r="D178" s="92"/>
      <c r="E178" s="501"/>
      <c r="F178" s="501"/>
      <c r="G178" s="501"/>
      <c r="H178" s="501"/>
      <c r="I178" s="491"/>
      <c r="J178" s="491"/>
      <c r="K178" s="491"/>
      <c r="L178" s="491"/>
      <c r="M178" s="515"/>
      <c r="N178" s="558"/>
      <c r="O178" s="573"/>
      <c r="P178" s="530"/>
      <c r="Q178" s="515"/>
      <c r="R178" s="558"/>
      <c r="S178" s="573"/>
      <c r="T178" s="530"/>
      <c r="U178" s="655"/>
      <c r="V178" s="655"/>
      <c r="W178" s="655"/>
      <c r="X178" s="16"/>
      <c r="Y178" s="16"/>
      <c r="Z178" s="16"/>
      <c r="AA178" s="16"/>
      <c r="AB178" s="16"/>
      <c r="AC178" s="16"/>
    </row>
    <row r="179" spans="1:29" ht="30" customHeight="1">
      <c r="A179" s="121"/>
      <c r="B179" s="82"/>
      <c r="C179" s="65" t="str">
        <f>"Category A   " &amp; IFERROR(VLOOKUP(E175,AH:AI,2,FALSE),"")</f>
        <v xml:space="preserve">Category A   </v>
      </c>
      <c r="D179" s="92"/>
      <c r="E179" s="501"/>
      <c r="F179" s="501"/>
      <c r="G179" s="501"/>
      <c r="H179" s="501"/>
      <c r="I179" s="491"/>
      <c r="J179" s="491"/>
      <c r="K179" s="491"/>
      <c r="L179" s="491"/>
      <c r="M179" s="515"/>
      <c r="N179" s="558"/>
      <c r="O179" s="573"/>
      <c r="P179" s="530"/>
      <c r="Q179" s="515"/>
      <c r="R179" s="558"/>
      <c r="S179" s="573"/>
      <c r="T179" s="530"/>
      <c r="U179" s="655"/>
      <c r="V179" s="655"/>
      <c r="W179" s="655"/>
      <c r="X179" s="16"/>
      <c r="Y179" s="16"/>
      <c r="Z179" s="16"/>
      <c r="AA179" s="16"/>
      <c r="AB179" s="16"/>
      <c r="AC179" s="16"/>
    </row>
    <row r="180" spans="1:29" ht="30" customHeight="1">
      <c r="A180" s="121"/>
      <c r="B180" s="82"/>
      <c r="C180" s="65" t="str">
        <f>"Category B   " &amp; IFERROR(VLOOKUP(F175,AH:AI,2,FALSE),"")</f>
        <v xml:space="preserve">Category B   </v>
      </c>
      <c r="D180" s="92"/>
      <c r="E180" s="501"/>
      <c r="F180" s="501"/>
      <c r="G180" s="501"/>
      <c r="H180" s="501"/>
      <c r="I180" s="491"/>
      <c r="J180" s="491"/>
      <c r="K180" s="491"/>
      <c r="L180" s="491"/>
      <c r="M180" s="515"/>
      <c r="N180" s="558"/>
      <c r="O180" s="573"/>
      <c r="P180" s="530"/>
      <c r="Q180" s="515"/>
      <c r="R180" s="558"/>
      <c r="S180" s="573"/>
      <c r="T180" s="530"/>
      <c r="U180" s="655"/>
      <c r="V180" s="655"/>
      <c r="W180" s="655"/>
      <c r="X180" s="16"/>
      <c r="Y180" s="16"/>
      <c r="Z180" s="16"/>
      <c r="AA180" s="16"/>
      <c r="AB180" s="16"/>
      <c r="AC180" s="16"/>
    </row>
    <row r="181" spans="1:29" ht="30" customHeight="1">
      <c r="A181" s="121"/>
      <c r="B181" s="82"/>
      <c r="C181" s="65" t="str">
        <f>"Category C   " &amp; IFERROR(VLOOKUP(G175,AH:AI,2,FALSE),"")</f>
        <v xml:space="preserve">Category C   </v>
      </c>
      <c r="D181" s="92"/>
      <c r="E181" s="501"/>
      <c r="F181" s="501"/>
      <c r="G181" s="501"/>
      <c r="H181" s="501"/>
      <c r="I181" s="491"/>
      <c r="J181" s="491"/>
      <c r="K181" s="491"/>
      <c r="L181" s="491"/>
      <c r="M181" s="515"/>
      <c r="N181" s="558"/>
      <c r="O181" s="573"/>
      <c r="P181" s="530"/>
      <c r="Q181" s="515"/>
      <c r="R181" s="558"/>
      <c r="S181" s="573"/>
      <c r="T181" s="530"/>
      <c r="U181" s="655"/>
      <c r="V181" s="655"/>
      <c r="W181" s="655"/>
      <c r="X181" s="16"/>
      <c r="Y181" s="16"/>
      <c r="Z181" s="16"/>
      <c r="AA181" s="16"/>
      <c r="AB181" s="16"/>
      <c r="AC181" s="16"/>
    </row>
    <row r="182" spans="1:29" ht="30" customHeight="1">
      <c r="A182" s="122"/>
      <c r="B182" s="183"/>
      <c r="C182" s="193" t="str">
        <f>"Category D   " &amp; IFERROR(VLOOKUP(H175,AH:AI,2,FALSE),"")</f>
        <v xml:space="preserve">Category D   </v>
      </c>
      <c r="D182" s="192"/>
      <c r="E182" s="501"/>
      <c r="F182" s="501"/>
      <c r="G182" s="501"/>
      <c r="H182" s="501"/>
      <c r="I182" s="492"/>
      <c r="J182" s="492"/>
      <c r="K182" s="492"/>
      <c r="L182" s="492"/>
      <c r="M182" s="516"/>
      <c r="N182" s="558"/>
      <c r="O182" s="573"/>
      <c r="P182" s="530"/>
      <c r="Q182" s="516"/>
      <c r="R182" s="558"/>
      <c r="S182" s="573"/>
      <c r="T182" s="530"/>
      <c r="U182" s="656"/>
      <c r="V182" s="656"/>
      <c r="W182" s="656"/>
      <c r="X182" s="16"/>
      <c r="Y182" s="16"/>
      <c r="Z182" s="16"/>
      <c r="AA182" s="16"/>
      <c r="AB182" s="16"/>
      <c r="AC182" s="16"/>
    </row>
    <row r="183" spans="1:29" ht="22.5" customHeight="1">
      <c r="A183" s="120" t="s">
        <v>153</v>
      </c>
      <c r="B183" s="139"/>
      <c r="C183" s="161" t="s">
        <v>324</v>
      </c>
      <c r="D183" s="351"/>
      <c r="E183" s="501" t="str">
        <f>IF(Q183&lt;&gt;"",Q183,"")</f>
        <v/>
      </c>
      <c r="F183" s="501" t="str">
        <f>IF(R183&lt;&gt;"",R183,"")</f>
        <v/>
      </c>
      <c r="G183" s="501" t="str">
        <f>IF(S183&lt;&gt;"",S183,"")</f>
        <v/>
      </c>
      <c r="H183" s="501" t="str">
        <f>IF(T183&lt;&gt;"",T183,"")</f>
        <v/>
      </c>
      <c r="I183" s="506" t="str">
        <f>IF(Q183="NA","NA",IF(AND(Q183&lt;&gt;"",OR(Q183="NS",Q183&gt;=0)),1,"-"))</f>
        <v>-</v>
      </c>
      <c r="J183" s="506" t="str">
        <f>IF(R183="NA","NA",IF(AND(R183&lt;&gt;"",OR(R183="NS",R183&gt;=0)),1,"-"))</f>
        <v>-</v>
      </c>
      <c r="K183" s="506" t="str">
        <f>IF(S183="NA","NA",IF(AND(S183&lt;&gt;"",OR(S183="NS",S183&gt;=0)),1,"-"))</f>
        <v>-</v>
      </c>
      <c r="L183" s="506" t="str">
        <f>IF(T183="NA","NA",IF(AND(T183&lt;&gt;"",OR(T183="NS",T183&gt;=0)),1,"-"))</f>
        <v>-</v>
      </c>
      <c r="M183" s="540"/>
      <c r="N183" s="558"/>
      <c r="O183" s="573"/>
      <c r="P183" s="530"/>
      <c r="Q183" s="540"/>
      <c r="R183" s="558"/>
      <c r="S183" s="573"/>
      <c r="T183" s="530"/>
      <c r="U183" s="646" t="s">
        <v>154</v>
      </c>
      <c r="V183" s="654" t="e">
        <f>IF(COUNTIF(Q183:T190,"NA")/COUNTA(Q183:T190)=1,"NA","")</f>
        <v>#DIV/0!</v>
      </c>
      <c r="W183" s="655" t="str">
        <f>IF(COUNTIF(Q183:T190,0)&gt;0,0,"")</f>
        <v/>
      </c>
      <c r="X183" s="16"/>
      <c r="Y183" s="16"/>
      <c r="Z183" s="16"/>
      <c r="AA183" s="16"/>
      <c r="AB183" s="16"/>
      <c r="AC183" s="16"/>
    </row>
    <row r="184" spans="1:29" ht="89.25">
      <c r="A184" s="379" t="s">
        <v>182</v>
      </c>
      <c r="B184" s="82"/>
      <c r="C184" s="60" t="s">
        <v>559</v>
      </c>
      <c r="D184" s="92"/>
      <c r="E184" s="501"/>
      <c r="F184" s="501"/>
      <c r="G184" s="501"/>
      <c r="H184" s="501"/>
      <c r="I184" s="506"/>
      <c r="J184" s="506"/>
      <c r="K184" s="506"/>
      <c r="L184" s="506"/>
      <c r="M184" s="540"/>
      <c r="N184" s="558"/>
      <c r="O184" s="573"/>
      <c r="P184" s="530"/>
      <c r="Q184" s="540"/>
      <c r="R184" s="558"/>
      <c r="S184" s="573"/>
      <c r="T184" s="530"/>
      <c r="U184" s="647"/>
      <c r="V184" s="655"/>
      <c r="W184" s="655"/>
      <c r="X184" s="16"/>
      <c r="Y184" s="16"/>
      <c r="Z184" s="16"/>
      <c r="AA184" s="16"/>
      <c r="AB184" s="16"/>
      <c r="AC184" s="16"/>
    </row>
    <row r="185" spans="1:29">
      <c r="A185" s="121"/>
      <c r="B185" s="82"/>
      <c r="C185" s="60"/>
      <c r="D185" s="92"/>
      <c r="E185" s="501"/>
      <c r="F185" s="501"/>
      <c r="G185" s="501"/>
      <c r="H185" s="501"/>
      <c r="I185" s="506"/>
      <c r="J185" s="506"/>
      <c r="K185" s="506"/>
      <c r="L185" s="506"/>
      <c r="M185" s="540"/>
      <c r="N185" s="558"/>
      <c r="O185" s="573"/>
      <c r="P185" s="530"/>
      <c r="Q185" s="540"/>
      <c r="R185" s="558"/>
      <c r="S185" s="573"/>
      <c r="T185" s="530"/>
      <c r="U185" s="647"/>
      <c r="V185" s="655"/>
      <c r="W185" s="655"/>
      <c r="X185" s="16"/>
      <c r="Y185" s="16"/>
      <c r="Z185" s="16"/>
      <c r="AA185" s="16"/>
      <c r="AB185" s="16"/>
      <c r="AC185" s="16"/>
    </row>
    <row r="186" spans="1:29">
      <c r="A186" s="121"/>
      <c r="B186" s="82"/>
      <c r="C186" s="224" t="s">
        <v>430</v>
      </c>
      <c r="D186" s="92"/>
      <c r="E186" s="501"/>
      <c r="F186" s="501"/>
      <c r="G186" s="501"/>
      <c r="H186" s="501"/>
      <c r="I186" s="506"/>
      <c r="J186" s="506"/>
      <c r="K186" s="506"/>
      <c r="L186" s="506"/>
      <c r="M186" s="540"/>
      <c r="N186" s="558"/>
      <c r="O186" s="573"/>
      <c r="P186" s="530"/>
      <c r="Q186" s="540"/>
      <c r="R186" s="558"/>
      <c r="S186" s="573"/>
      <c r="T186" s="530"/>
      <c r="U186" s="647"/>
      <c r="V186" s="655"/>
      <c r="W186" s="655"/>
      <c r="X186" s="16"/>
      <c r="Y186" s="16"/>
      <c r="Z186" s="16"/>
      <c r="AA186" s="16"/>
      <c r="AB186" s="16"/>
      <c r="AC186" s="16"/>
    </row>
    <row r="187" spans="1:29" ht="30" customHeight="1">
      <c r="A187" s="121"/>
      <c r="B187" s="82"/>
      <c r="C187" s="65" t="str">
        <f>"Category A   " &amp; IFERROR(VLOOKUP(E183,AH:AI,2,FALSE),"")</f>
        <v xml:space="preserve">Category A   </v>
      </c>
      <c r="D187" s="92"/>
      <c r="E187" s="501"/>
      <c r="F187" s="501"/>
      <c r="G187" s="501"/>
      <c r="H187" s="501"/>
      <c r="I187" s="506"/>
      <c r="J187" s="506"/>
      <c r="K187" s="506"/>
      <c r="L187" s="506"/>
      <c r="M187" s="540"/>
      <c r="N187" s="558"/>
      <c r="O187" s="573"/>
      <c r="P187" s="530"/>
      <c r="Q187" s="540"/>
      <c r="R187" s="558"/>
      <c r="S187" s="573"/>
      <c r="T187" s="530"/>
      <c r="U187" s="647"/>
      <c r="V187" s="655"/>
      <c r="W187" s="655"/>
      <c r="X187" s="16"/>
      <c r="Y187" s="16"/>
      <c r="Z187" s="16"/>
      <c r="AA187" s="16"/>
      <c r="AB187" s="16"/>
      <c r="AC187" s="16"/>
    </row>
    <row r="188" spans="1:29" ht="30" customHeight="1">
      <c r="A188" s="121"/>
      <c r="B188" s="82"/>
      <c r="C188" s="65" t="str">
        <f>"Category B   " &amp; IFERROR(VLOOKUP(F183,AH:AI,2,FALSE),"")</f>
        <v xml:space="preserve">Category B   </v>
      </c>
      <c r="D188" s="92"/>
      <c r="E188" s="501"/>
      <c r="F188" s="501"/>
      <c r="G188" s="501"/>
      <c r="H188" s="501"/>
      <c r="I188" s="506"/>
      <c r="J188" s="506"/>
      <c r="K188" s="506"/>
      <c r="L188" s="506"/>
      <c r="M188" s="540"/>
      <c r="N188" s="558"/>
      <c r="O188" s="573"/>
      <c r="P188" s="530"/>
      <c r="Q188" s="540"/>
      <c r="R188" s="558"/>
      <c r="S188" s="573"/>
      <c r="T188" s="530"/>
      <c r="U188" s="647"/>
      <c r="V188" s="655"/>
      <c r="W188" s="655"/>
      <c r="X188" s="16"/>
      <c r="Y188" s="16"/>
      <c r="Z188" s="16"/>
      <c r="AA188" s="16"/>
      <c r="AB188" s="16"/>
      <c r="AC188" s="16"/>
    </row>
    <row r="189" spans="1:29" ht="30" customHeight="1">
      <c r="A189" s="121"/>
      <c r="B189" s="82"/>
      <c r="C189" s="65" t="str">
        <f>"Category C   " &amp; IFERROR(VLOOKUP(G183,AH:AI,2,FALSE),"")</f>
        <v xml:space="preserve">Category C   </v>
      </c>
      <c r="D189" s="92"/>
      <c r="E189" s="501"/>
      <c r="F189" s="501"/>
      <c r="G189" s="501"/>
      <c r="H189" s="501"/>
      <c r="I189" s="506"/>
      <c r="J189" s="506"/>
      <c r="K189" s="506"/>
      <c r="L189" s="506"/>
      <c r="M189" s="540"/>
      <c r="N189" s="558"/>
      <c r="O189" s="573"/>
      <c r="P189" s="530"/>
      <c r="Q189" s="540"/>
      <c r="R189" s="558"/>
      <c r="S189" s="573"/>
      <c r="T189" s="530"/>
      <c r="U189" s="647"/>
      <c r="V189" s="655"/>
      <c r="W189" s="655"/>
      <c r="X189" s="16"/>
      <c r="Y189" s="16"/>
      <c r="Z189" s="16"/>
      <c r="AA189" s="16"/>
      <c r="AB189" s="16"/>
      <c r="AC189" s="16"/>
    </row>
    <row r="190" spans="1:29" ht="30" customHeight="1">
      <c r="A190" s="121"/>
      <c r="B190" s="148"/>
      <c r="C190" s="65" t="str">
        <f>"Category D   " &amp; IFERROR(VLOOKUP(H183,AH:AI,2,FALSE),"")</f>
        <v xml:space="preserve">Category D   </v>
      </c>
      <c r="D190" s="92"/>
      <c r="E190" s="501"/>
      <c r="F190" s="501"/>
      <c r="G190" s="501"/>
      <c r="H190" s="501"/>
      <c r="I190" s="506"/>
      <c r="J190" s="506"/>
      <c r="K190" s="506"/>
      <c r="L190" s="506"/>
      <c r="M190" s="540"/>
      <c r="N190" s="558"/>
      <c r="O190" s="573"/>
      <c r="P190" s="530"/>
      <c r="Q190" s="540"/>
      <c r="R190" s="558"/>
      <c r="S190" s="573"/>
      <c r="T190" s="530"/>
      <c r="U190" s="647"/>
      <c r="V190" s="655"/>
      <c r="W190" s="656"/>
      <c r="X190" s="16"/>
      <c r="Y190" s="16"/>
      <c r="Z190" s="16"/>
      <c r="AA190" s="16"/>
      <c r="AB190" s="16"/>
      <c r="AC190" s="16"/>
    </row>
    <row r="191" spans="1:29" ht="38.25">
      <c r="A191" s="379" t="s">
        <v>192</v>
      </c>
      <c r="B191" s="82"/>
      <c r="C191" s="60" t="s">
        <v>560</v>
      </c>
      <c r="D191" s="238"/>
      <c r="E191" s="544" t="str">
        <f>IF(Q191=1,"1B",Q191)</f>
        <v>Insert No. of Credit(s) Here</v>
      </c>
      <c r="F191" s="501"/>
      <c r="G191" s="501"/>
      <c r="H191" s="501"/>
      <c r="I191" s="506" t="s">
        <v>60</v>
      </c>
      <c r="J191" s="506"/>
      <c r="K191" s="506"/>
      <c r="L191" s="506"/>
      <c r="M191" s="540" t="s">
        <v>435</v>
      </c>
      <c r="N191" s="540"/>
      <c r="O191" s="540"/>
      <c r="P191" s="540"/>
      <c r="Q191" s="540" t="s">
        <v>435</v>
      </c>
      <c r="R191" s="540"/>
      <c r="S191" s="540"/>
      <c r="T191" s="540"/>
      <c r="U191" s="647"/>
      <c r="V191" s="655" t="str">
        <f>IF(Q191="NA","NA","")</f>
        <v/>
      </c>
      <c r="W191" s="655" t="str">
        <f>IF(Q191=0,0,"")</f>
        <v/>
      </c>
      <c r="X191" s="16"/>
      <c r="Y191" s="16"/>
      <c r="Z191" s="16"/>
      <c r="AA191" s="16"/>
      <c r="AB191" s="16"/>
      <c r="AC191" s="16"/>
    </row>
    <row r="192" spans="1:29">
      <c r="A192" s="121"/>
      <c r="B192" s="82"/>
      <c r="C192" s="60"/>
      <c r="D192" s="92"/>
      <c r="E192" s="501"/>
      <c r="F192" s="501"/>
      <c r="G192" s="501"/>
      <c r="H192" s="501"/>
      <c r="I192" s="506"/>
      <c r="J192" s="506"/>
      <c r="K192" s="506"/>
      <c r="L192" s="506"/>
      <c r="M192" s="540"/>
      <c r="N192" s="540"/>
      <c r="O192" s="540"/>
      <c r="P192" s="540"/>
      <c r="Q192" s="540"/>
      <c r="R192" s="540"/>
      <c r="S192" s="540"/>
      <c r="T192" s="540"/>
      <c r="U192" s="647"/>
      <c r="V192" s="655"/>
      <c r="W192" s="655"/>
      <c r="X192" s="16"/>
      <c r="Y192" s="16"/>
      <c r="Z192" s="16"/>
      <c r="AA192" s="16"/>
      <c r="AB192" s="16"/>
      <c r="AC192" s="16"/>
    </row>
    <row r="193" spans="1:29">
      <c r="A193" s="121"/>
      <c r="B193" s="82"/>
      <c r="C193" s="224" t="s">
        <v>430</v>
      </c>
      <c r="D193" s="92"/>
      <c r="E193" s="501"/>
      <c r="F193" s="501"/>
      <c r="G193" s="501"/>
      <c r="H193" s="501"/>
      <c r="I193" s="506"/>
      <c r="J193" s="506"/>
      <c r="K193" s="506"/>
      <c r="L193" s="506"/>
      <c r="M193" s="540"/>
      <c r="N193" s="540"/>
      <c r="O193" s="540"/>
      <c r="P193" s="540"/>
      <c r="Q193" s="540"/>
      <c r="R193" s="540"/>
      <c r="S193" s="540"/>
      <c r="T193" s="540"/>
      <c r="U193" s="647"/>
      <c r="V193" s="655"/>
      <c r="W193" s="655"/>
      <c r="X193" s="16"/>
      <c r="Y193" s="16"/>
      <c r="Z193" s="16"/>
      <c r="AA193" s="16"/>
      <c r="AB193" s="16"/>
      <c r="AC193" s="16"/>
    </row>
    <row r="194" spans="1:29" ht="30" customHeight="1">
      <c r="A194" s="122"/>
      <c r="B194" s="183"/>
      <c r="C194" s="193" t="str">
        <f>IFERROR(VLOOKUP($E191,$AH:$AI,2,FALSE),"-")</f>
        <v>-</v>
      </c>
      <c r="D194" s="192"/>
      <c r="E194" s="501"/>
      <c r="F194" s="501"/>
      <c r="G194" s="501"/>
      <c r="H194" s="501"/>
      <c r="I194" s="506"/>
      <c r="J194" s="506"/>
      <c r="K194" s="506"/>
      <c r="L194" s="506"/>
      <c r="M194" s="540"/>
      <c r="N194" s="540"/>
      <c r="O194" s="540"/>
      <c r="P194" s="540"/>
      <c r="Q194" s="540"/>
      <c r="R194" s="540"/>
      <c r="S194" s="540"/>
      <c r="T194" s="540"/>
      <c r="U194" s="648"/>
      <c r="V194" s="656"/>
      <c r="W194" s="656"/>
      <c r="X194" s="16"/>
      <c r="Y194" s="16"/>
      <c r="Z194" s="16"/>
      <c r="AA194" s="16"/>
      <c r="AB194" s="16"/>
      <c r="AC194" s="16"/>
    </row>
    <row r="195" spans="1:29" ht="22.5" customHeight="1">
      <c r="A195" s="120" t="s">
        <v>155</v>
      </c>
      <c r="B195" s="139"/>
      <c r="C195" s="161" t="s">
        <v>325</v>
      </c>
      <c r="D195" s="351"/>
      <c r="E195" s="501" t="str">
        <f>IF(Q195&lt;&gt;"",Q195,"")</f>
        <v/>
      </c>
      <c r="F195" s="501" t="str">
        <f>IF(R195&lt;&gt;"",R195,"")</f>
        <v/>
      </c>
      <c r="G195" s="501" t="str">
        <f>IF(S195&lt;&gt;"",S195,"")</f>
        <v/>
      </c>
      <c r="H195" s="501" t="str">
        <f>IF(T195&lt;&gt;"",T195,"")</f>
        <v/>
      </c>
      <c r="I195" s="506" t="str">
        <f>IF(Q195="NA","NA",IF(AND(Q195&lt;&gt;"",OR(Q195="NS",Q195&gt;=0)),1,"-"))</f>
        <v>-</v>
      </c>
      <c r="J195" s="506" t="str">
        <f>IF(R195="NA","NA",IF(AND(R195&lt;&gt;"",OR(R195="NS",R195&gt;=0)),1,"-"))</f>
        <v>-</v>
      </c>
      <c r="K195" s="506" t="str">
        <f>IF(S195="NA","NA",IF(AND(S195&lt;&gt;"",OR(S195="NS",S195&gt;=0)),1,"-"))</f>
        <v>-</v>
      </c>
      <c r="L195" s="506" t="str">
        <f>IF(T195="NA","NA",IF(AND(T195&lt;&gt;"",OR(T195="NS",T195&gt;=0)),1,"-"))</f>
        <v>-</v>
      </c>
      <c r="M195" s="540"/>
      <c r="N195" s="558"/>
      <c r="O195" s="573"/>
      <c r="P195" s="530"/>
      <c r="Q195" s="540"/>
      <c r="R195" s="558"/>
      <c r="S195" s="573"/>
      <c r="T195" s="530"/>
      <c r="U195" s="646"/>
      <c r="V195" s="646" t="e">
        <f>IF(COUNTIF(Q195:T202,"NA")/COUNTA(Q195:T202)=1,"NA","")</f>
        <v>#DIV/0!</v>
      </c>
      <c r="W195" s="655" t="str">
        <f>IF(COUNTIF(Q195:T202,0)&gt;0,0,"")</f>
        <v/>
      </c>
      <c r="X195" s="16"/>
      <c r="Y195" s="16"/>
      <c r="Z195" s="16"/>
      <c r="AA195" s="16"/>
      <c r="AB195" s="16"/>
      <c r="AC195" s="16"/>
    </row>
    <row r="196" spans="1:29" ht="38.25">
      <c r="A196" s="379" t="s">
        <v>182</v>
      </c>
      <c r="B196" s="82"/>
      <c r="C196" s="60" t="s">
        <v>6</v>
      </c>
      <c r="D196" s="92"/>
      <c r="E196" s="501"/>
      <c r="F196" s="501"/>
      <c r="G196" s="501"/>
      <c r="H196" s="501"/>
      <c r="I196" s="506"/>
      <c r="J196" s="506"/>
      <c r="K196" s="506"/>
      <c r="L196" s="506"/>
      <c r="M196" s="540"/>
      <c r="N196" s="558"/>
      <c r="O196" s="573"/>
      <c r="P196" s="530"/>
      <c r="Q196" s="540"/>
      <c r="R196" s="558"/>
      <c r="S196" s="573"/>
      <c r="T196" s="530"/>
      <c r="U196" s="647"/>
      <c r="V196" s="647"/>
      <c r="W196" s="655"/>
      <c r="X196" s="16"/>
      <c r="Y196" s="16"/>
      <c r="Z196" s="16"/>
      <c r="AA196" s="16"/>
      <c r="AB196" s="16"/>
      <c r="AC196" s="16"/>
    </row>
    <row r="197" spans="1:29">
      <c r="A197" s="121"/>
      <c r="B197" s="82"/>
      <c r="C197" s="60"/>
      <c r="D197" s="92"/>
      <c r="E197" s="501"/>
      <c r="F197" s="501"/>
      <c r="G197" s="501"/>
      <c r="H197" s="501"/>
      <c r="I197" s="506"/>
      <c r="J197" s="506"/>
      <c r="K197" s="506"/>
      <c r="L197" s="506"/>
      <c r="M197" s="540"/>
      <c r="N197" s="558"/>
      <c r="O197" s="573"/>
      <c r="P197" s="530"/>
      <c r="Q197" s="540"/>
      <c r="R197" s="558"/>
      <c r="S197" s="573"/>
      <c r="T197" s="530"/>
      <c r="U197" s="647"/>
      <c r="V197" s="647"/>
      <c r="W197" s="655"/>
      <c r="X197" s="16"/>
      <c r="Y197" s="16"/>
      <c r="Z197" s="16"/>
      <c r="AA197" s="16"/>
      <c r="AB197" s="16"/>
      <c r="AC197" s="16"/>
    </row>
    <row r="198" spans="1:29">
      <c r="A198" s="121"/>
      <c r="B198" s="82"/>
      <c r="C198" s="224" t="s">
        <v>430</v>
      </c>
      <c r="D198" s="92"/>
      <c r="E198" s="501"/>
      <c r="F198" s="501"/>
      <c r="G198" s="501"/>
      <c r="H198" s="501"/>
      <c r="I198" s="506"/>
      <c r="J198" s="506"/>
      <c r="K198" s="506"/>
      <c r="L198" s="506"/>
      <c r="M198" s="540"/>
      <c r="N198" s="558"/>
      <c r="O198" s="573"/>
      <c r="P198" s="530"/>
      <c r="Q198" s="540"/>
      <c r="R198" s="558"/>
      <c r="S198" s="573"/>
      <c r="T198" s="530"/>
      <c r="U198" s="647"/>
      <c r="V198" s="647"/>
      <c r="W198" s="655"/>
      <c r="X198" s="16"/>
      <c r="Y198" s="16"/>
      <c r="Z198" s="16"/>
      <c r="AA198" s="16"/>
      <c r="AB198" s="16"/>
      <c r="AC198" s="16"/>
    </row>
    <row r="199" spans="1:29" ht="30" customHeight="1">
      <c r="A199" s="121"/>
      <c r="B199" s="82"/>
      <c r="C199" s="65" t="str">
        <f>"Category A   " &amp; IFERROR(VLOOKUP(E195,AH:AI,2,FALSE),"")</f>
        <v xml:space="preserve">Category A   </v>
      </c>
      <c r="D199" s="92"/>
      <c r="E199" s="501"/>
      <c r="F199" s="501"/>
      <c r="G199" s="501"/>
      <c r="H199" s="501"/>
      <c r="I199" s="506"/>
      <c r="J199" s="506"/>
      <c r="K199" s="506"/>
      <c r="L199" s="506"/>
      <c r="M199" s="540"/>
      <c r="N199" s="558"/>
      <c r="O199" s="573"/>
      <c r="P199" s="530"/>
      <c r="Q199" s="540"/>
      <c r="R199" s="558"/>
      <c r="S199" s="573"/>
      <c r="T199" s="530"/>
      <c r="U199" s="647"/>
      <c r="V199" s="647"/>
      <c r="W199" s="655"/>
      <c r="X199" s="16"/>
      <c r="Y199" s="16"/>
      <c r="Z199" s="16"/>
      <c r="AA199" s="16"/>
      <c r="AB199" s="16"/>
      <c r="AC199" s="16"/>
    </row>
    <row r="200" spans="1:29" ht="30" customHeight="1">
      <c r="A200" s="121"/>
      <c r="B200" s="82"/>
      <c r="C200" s="65" t="str">
        <f>"Category B   " &amp; IFERROR(VLOOKUP(F195,AH:AI,2,FALSE),"")</f>
        <v xml:space="preserve">Category B   </v>
      </c>
      <c r="D200" s="92"/>
      <c r="E200" s="501"/>
      <c r="F200" s="501"/>
      <c r="G200" s="501"/>
      <c r="H200" s="501"/>
      <c r="I200" s="506"/>
      <c r="J200" s="506"/>
      <c r="K200" s="506"/>
      <c r="L200" s="506"/>
      <c r="M200" s="540"/>
      <c r="N200" s="558"/>
      <c r="O200" s="573"/>
      <c r="P200" s="530"/>
      <c r="Q200" s="540"/>
      <c r="R200" s="558"/>
      <c r="S200" s="573"/>
      <c r="T200" s="530"/>
      <c r="U200" s="647"/>
      <c r="V200" s="647"/>
      <c r="W200" s="655"/>
      <c r="X200" s="16"/>
      <c r="Y200" s="16"/>
      <c r="Z200" s="16"/>
      <c r="AA200" s="16"/>
      <c r="AB200" s="16"/>
      <c r="AC200" s="16"/>
    </row>
    <row r="201" spans="1:29" ht="30" customHeight="1">
      <c r="A201" s="121"/>
      <c r="B201" s="82"/>
      <c r="C201" s="65" t="str">
        <f>"Category C   " &amp; IFERROR(VLOOKUP(G195,AH:AI,2,FALSE),"")</f>
        <v xml:space="preserve">Category C   </v>
      </c>
      <c r="D201" s="92"/>
      <c r="E201" s="501"/>
      <c r="F201" s="501"/>
      <c r="G201" s="501"/>
      <c r="H201" s="501"/>
      <c r="I201" s="506"/>
      <c r="J201" s="506"/>
      <c r="K201" s="506"/>
      <c r="L201" s="506"/>
      <c r="M201" s="540"/>
      <c r="N201" s="558"/>
      <c r="O201" s="573"/>
      <c r="P201" s="530"/>
      <c r="Q201" s="540"/>
      <c r="R201" s="558"/>
      <c r="S201" s="573"/>
      <c r="T201" s="530"/>
      <c r="U201" s="647"/>
      <c r="V201" s="647"/>
      <c r="W201" s="655"/>
      <c r="X201" s="16"/>
      <c r="Y201" s="16"/>
      <c r="Z201" s="16"/>
      <c r="AA201" s="16"/>
      <c r="AB201" s="16"/>
      <c r="AC201" s="16"/>
    </row>
    <row r="202" spans="1:29" ht="30" customHeight="1">
      <c r="A202" s="122"/>
      <c r="B202" s="183"/>
      <c r="C202" s="193" t="str">
        <f>"Category D   " &amp; IFERROR(VLOOKUP(H195,AH:AI,2,FALSE),"")</f>
        <v xml:space="preserve">Category D   </v>
      </c>
      <c r="D202" s="192"/>
      <c r="E202" s="501"/>
      <c r="F202" s="501"/>
      <c r="G202" s="501"/>
      <c r="H202" s="501"/>
      <c r="I202" s="506"/>
      <c r="J202" s="506"/>
      <c r="K202" s="506"/>
      <c r="L202" s="506"/>
      <c r="M202" s="540"/>
      <c r="N202" s="558"/>
      <c r="O202" s="573"/>
      <c r="P202" s="530"/>
      <c r="Q202" s="540"/>
      <c r="R202" s="558"/>
      <c r="S202" s="573"/>
      <c r="T202" s="530"/>
      <c r="U202" s="648"/>
      <c r="V202" s="648"/>
      <c r="W202" s="656"/>
      <c r="X202" s="16"/>
      <c r="Y202" s="16"/>
      <c r="Z202" s="16"/>
      <c r="AA202" s="16"/>
      <c r="AB202" s="16"/>
      <c r="AC202" s="16"/>
    </row>
    <row r="203" spans="1:29" ht="22.5" customHeight="1">
      <c r="A203" s="115">
        <v>6.7</v>
      </c>
      <c r="B203" s="126"/>
      <c r="C203" s="128" t="s">
        <v>156</v>
      </c>
      <c r="D203" s="191"/>
      <c r="E203" s="500"/>
      <c r="F203" s="500"/>
      <c r="G203" s="500"/>
      <c r="H203" s="500"/>
      <c r="I203" s="164"/>
      <c r="J203" s="181"/>
      <c r="K203" s="181"/>
      <c r="L203" s="181"/>
      <c r="M203" s="181"/>
      <c r="N203" s="181"/>
      <c r="O203" s="181"/>
      <c r="P203" s="181"/>
      <c r="Q203" s="181"/>
      <c r="R203" s="181"/>
      <c r="S203" s="181"/>
      <c r="T203" s="181"/>
      <c r="U203" s="127"/>
      <c r="V203" s="127"/>
      <c r="W203" s="127"/>
      <c r="X203" s="16"/>
      <c r="Y203" s="16"/>
      <c r="Z203" s="16"/>
      <c r="AA203" s="16"/>
      <c r="AB203" s="16"/>
      <c r="AC203" s="16"/>
    </row>
    <row r="204" spans="1:29" ht="22.5" customHeight="1">
      <c r="A204" s="120" t="s">
        <v>157</v>
      </c>
      <c r="B204" s="139"/>
      <c r="C204" s="161" t="s">
        <v>326</v>
      </c>
      <c r="D204" s="351"/>
      <c r="E204" s="501" t="str">
        <f>IF(Q204&lt;&gt;"",Q204,"")</f>
        <v/>
      </c>
      <c r="F204" s="501" t="str">
        <f>IF(R204&lt;&gt;"",R204,"")</f>
        <v/>
      </c>
      <c r="G204" s="501" t="str">
        <f>IF(S204&lt;&gt;"",S204,"")</f>
        <v/>
      </c>
      <c r="H204" s="501" t="str">
        <f>IF(T204&lt;&gt;"",T204,"")</f>
        <v/>
      </c>
      <c r="I204" s="506" t="str">
        <f>IF(Q204="NA","NA",IF(AND(Q204&lt;&gt;"",OR(Q204="NS",Q204&gt;=0)),1,"-"))</f>
        <v>-</v>
      </c>
      <c r="J204" s="506" t="str">
        <f>IF(R204="NA","NA",IF(AND(R204&lt;&gt;"",OR(R204="NS",R204&gt;=0)),1,"-"))</f>
        <v>-</v>
      </c>
      <c r="K204" s="506" t="str">
        <f>IF(S204="NA","NA",IF(AND(S204&lt;&gt;"",OR(S204="NS",S204&gt;=0)),1,"-"))</f>
        <v>-</v>
      </c>
      <c r="L204" s="506" t="str">
        <f>IF(T204="NA","NA",IF(AND(T204&lt;&gt;"",OR(T204="NS",T204&gt;=0)),1,"-"))</f>
        <v>-</v>
      </c>
      <c r="M204" s="540"/>
      <c r="N204" s="558"/>
      <c r="O204" s="573"/>
      <c r="P204" s="530"/>
      <c r="Q204" s="540"/>
      <c r="R204" s="558"/>
      <c r="S204" s="573"/>
      <c r="T204" s="530"/>
      <c r="U204" s="646" t="s">
        <v>7</v>
      </c>
      <c r="V204" s="646" t="e">
        <f>IF(COUNTIF(Q204:T211,"NA")/COUNTA(Q204:T211)=1,"NA","")</f>
        <v>#DIV/0!</v>
      </c>
      <c r="W204" s="655" t="str">
        <f>IF(COUNTIF(Q204:T211,0)&gt;0,0,"")</f>
        <v/>
      </c>
      <c r="X204" s="16"/>
      <c r="Y204" s="16"/>
      <c r="Z204" s="16"/>
      <c r="AA204" s="16"/>
      <c r="AB204" s="16"/>
      <c r="AC204" s="16"/>
    </row>
    <row r="205" spans="1:29" ht="38.25">
      <c r="A205" s="379" t="s">
        <v>182</v>
      </c>
      <c r="B205" s="82"/>
      <c r="C205" s="60" t="s">
        <v>561</v>
      </c>
      <c r="D205" s="92"/>
      <c r="E205" s="501"/>
      <c r="F205" s="501"/>
      <c r="G205" s="501"/>
      <c r="H205" s="501"/>
      <c r="I205" s="506"/>
      <c r="J205" s="506"/>
      <c r="K205" s="506"/>
      <c r="L205" s="506"/>
      <c r="M205" s="540"/>
      <c r="N205" s="558"/>
      <c r="O205" s="573"/>
      <c r="P205" s="530"/>
      <c r="Q205" s="540"/>
      <c r="R205" s="558"/>
      <c r="S205" s="573"/>
      <c r="T205" s="530"/>
      <c r="U205" s="647"/>
      <c r="V205" s="647"/>
      <c r="W205" s="655"/>
      <c r="X205" s="16"/>
      <c r="Y205" s="16"/>
      <c r="Z205" s="16"/>
      <c r="AA205" s="16"/>
      <c r="AB205" s="16"/>
      <c r="AC205" s="16"/>
    </row>
    <row r="206" spans="1:29">
      <c r="A206" s="121"/>
      <c r="B206" s="82"/>
      <c r="C206" s="60"/>
      <c r="D206" s="92"/>
      <c r="E206" s="501"/>
      <c r="F206" s="501"/>
      <c r="G206" s="501"/>
      <c r="H206" s="501"/>
      <c r="I206" s="506"/>
      <c r="J206" s="506"/>
      <c r="K206" s="506"/>
      <c r="L206" s="506"/>
      <c r="M206" s="540"/>
      <c r="N206" s="558"/>
      <c r="O206" s="573"/>
      <c r="P206" s="530"/>
      <c r="Q206" s="540"/>
      <c r="R206" s="558"/>
      <c r="S206" s="573"/>
      <c r="T206" s="530"/>
      <c r="U206" s="647"/>
      <c r="V206" s="647"/>
      <c r="W206" s="655"/>
      <c r="X206" s="16"/>
      <c r="Y206" s="16"/>
      <c r="Z206" s="16"/>
      <c r="AA206" s="16"/>
      <c r="AB206" s="16"/>
      <c r="AC206" s="16"/>
    </row>
    <row r="207" spans="1:29">
      <c r="A207" s="121"/>
      <c r="B207" s="82"/>
      <c r="C207" s="224" t="s">
        <v>430</v>
      </c>
      <c r="D207" s="92"/>
      <c r="E207" s="501"/>
      <c r="F207" s="501"/>
      <c r="G207" s="501"/>
      <c r="H207" s="501"/>
      <c r="I207" s="506"/>
      <c r="J207" s="506"/>
      <c r="K207" s="506"/>
      <c r="L207" s="506"/>
      <c r="M207" s="540"/>
      <c r="N207" s="558"/>
      <c r="O207" s="573"/>
      <c r="P207" s="530"/>
      <c r="Q207" s="540"/>
      <c r="R207" s="558"/>
      <c r="S207" s="573"/>
      <c r="T207" s="530"/>
      <c r="U207" s="647"/>
      <c r="V207" s="647"/>
      <c r="W207" s="655"/>
      <c r="X207" s="16"/>
      <c r="Y207" s="16"/>
      <c r="Z207" s="16"/>
      <c r="AA207" s="16"/>
      <c r="AB207" s="16"/>
      <c r="AC207" s="16"/>
    </row>
    <row r="208" spans="1:29" ht="30" customHeight="1">
      <c r="A208" s="121"/>
      <c r="B208" s="82"/>
      <c r="C208" s="65" t="str">
        <f>"Category A   " &amp; IFERROR(VLOOKUP(E204,AH:AI,2,FALSE),"")</f>
        <v xml:space="preserve">Category A   </v>
      </c>
      <c r="D208" s="92"/>
      <c r="E208" s="501"/>
      <c r="F208" s="501"/>
      <c r="G208" s="501"/>
      <c r="H208" s="501"/>
      <c r="I208" s="506"/>
      <c r="J208" s="506"/>
      <c r="K208" s="506"/>
      <c r="L208" s="506"/>
      <c r="M208" s="540"/>
      <c r="N208" s="558"/>
      <c r="O208" s="573"/>
      <c r="P208" s="530"/>
      <c r="Q208" s="540"/>
      <c r="R208" s="558"/>
      <c r="S208" s="573"/>
      <c r="T208" s="530"/>
      <c r="U208" s="647"/>
      <c r="V208" s="647"/>
      <c r="W208" s="655"/>
      <c r="X208" s="16"/>
      <c r="Y208" s="16"/>
      <c r="Z208" s="16"/>
      <c r="AA208" s="16"/>
      <c r="AB208" s="16"/>
      <c r="AC208" s="16"/>
    </row>
    <row r="209" spans="1:29" ht="30" customHeight="1">
      <c r="A209" s="121"/>
      <c r="B209" s="82"/>
      <c r="C209" s="65" t="str">
        <f>"Category B   " &amp; IFERROR(VLOOKUP(F204,AH:AI,2,FALSE),"")</f>
        <v xml:space="preserve">Category B   </v>
      </c>
      <c r="D209" s="92"/>
      <c r="E209" s="501"/>
      <c r="F209" s="501"/>
      <c r="G209" s="501"/>
      <c r="H209" s="501"/>
      <c r="I209" s="506"/>
      <c r="J209" s="506"/>
      <c r="K209" s="506"/>
      <c r="L209" s="506"/>
      <c r="M209" s="540"/>
      <c r="N209" s="558"/>
      <c r="O209" s="573"/>
      <c r="P209" s="530"/>
      <c r="Q209" s="540"/>
      <c r="R209" s="558"/>
      <c r="S209" s="573"/>
      <c r="T209" s="530"/>
      <c r="U209" s="647"/>
      <c r="V209" s="647"/>
      <c r="W209" s="655"/>
      <c r="X209" s="16"/>
      <c r="Y209" s="16"/>
      <c r="Z209" s="16"/>
      <c r="AA209" s="16"/>
      <c r="AB209" s="16"/>
      <c r="AC209" s="16"/>
    </row>
    <row r="210" spans="1:29" ht="30" customHeight="1">
      <c r="A210" s="121"/>
      <c r="B210" s="82"/>
      <c r="C210" s="65" t="str">
        <f>"Category C   " &amp; IFERROR(VLOOKUP(G204,AH:AI,2,FALSE),"")</f>
        <v xml:space="preserve">Category C   </v>
      </c>
      <c r="D210" s="92"/>
      <c r="E210" s="501"/>
      <c r="F210" s="501"/>
      <c r="G210" s="501"/>
      <c r="H210" s="501"/>
      <c r="I210" s="506"/>
      <c r="J210" s="506"/>
      <c r="K210" s="506"/>
      <c r="L210" s="506"/>
      <c r="M210" s="540"/>
      <c r="N210" s="558"/>
      <c r="O210" s="573"/>
      <c r="P210" s="530"/>
      <c r="Q210" s="540"/>
      <c r="R210" s="558"/>
      <c r="S210" s="573"/>
      <c r="T210" s="530"/>
      <c r="U210" s="647"/>
      <c r="V210" s="647"/>
      <c r="W210" s="655"/>
      <c r="X210" s="16"/>
      <c r="Y210" s="16"/>
      <c r="Z210" s="16"/>
      <c r="AA210" s="16"/>
      <c r="AB210" s="16"/>
      <c r="AC210" s="16"/>
    </row>
    <row r="211" spans="1:29" ht="30" customHeight="1">
      <c r="A211" s="122"/>
      <c r="B211" s="183"/>
      <c r="C211" s="193" t="str">
        <f>"Category D   " &amp; IFERROR(VLOOKUP(H204,AH:AI,2,FALSE),"")</f>
        <v xml:space="preserve">Category D   </v>
      </c>
      <c r="D211" s="192"/>
      <c r="E211" s="501"/>
      <c r="F211" s="501"/>
      <c r="G211" s="501"/>
      <c r="H211" s="501"/>
      <c r="I211" s="506"/>
      <c r="J211" s="506"/>
      <c r="K211" s="506"/>
      <c r="L211" s="506"/>
      <c r="M211" s="540"/>
      <c r="N211" s="558"/>
      <c r="O211" s="573"/>
      <c r="P211" s="530"/>
      <c r="Q211" s="540"/>
      <c r="R211" s="558"/>
      <c r="S211" s="573"/>
      <c r="T211" s="530"/>
      <c r="U211" s="648"/>
      <c r="V211" s="648"/>
      <c r="W211" s="656"/>
      <c r="X211" s="16"/>
      <c r="Y211" s="16"/>
      <c r="Z211" s="16"/>
      <c r="AA211" s="16"/>
      <c r="AB211" s="16"/>
      <c r="AC211" s="16"/>
    </row>
    <row r="212" spans="1:29" ht="22.5" customHeight="1">
      <c r="A212" s="120" t="s">
        <v>158</v>
      </c>
      <c r="B212" s="139"/>
      <c r="C212" s="161" t="s">
        <v>327</v>
      </c>
      <c r="D212" s="351"/>
      <c r="E212" s="501" t="str">
        <f>IF(Q212&lt;&gt;"",Q212,"")</f>
        <v/>
      </c>
      <c r="F212" s="501" t="str">
        <f>IF(R212&lt;&gt;"",R212,"")</f>
        <v/>
      </c>
      <c r="G212" s="501" t="str">
        <f>IF(S212&lt;&gt;"",S212,"")</f>
        <v/>
      </c>
      <c r="H212" s="501" t="str">
        <f>IF(T212&lt;&gt;"",T212,"")</f>
        <v/>
      </c>
      <c r="I212" s="506" t="str">
        <f>IF(Q212="NA","NA",IF(AND(Q212&lt;&gt;"",OR(Q212="NS",Q212&gt;=0)),1,"-"))</f>
        <v>-</v>
      </c>
      <c r="J212" s="506" t="str">
        <f>IF(R212="NA","NA",IF(AND(R212&lt;&gt;"",OR(R212="NS",R212&gt;=0)),1,"-"))</f>
        <v>-</v>
      </c>
      <c r="K212" s="506" t="str">
        <f>IF(S212="NA","NA",IF(AND(S212&lt;&gt;"",OR(S212="NS",S212&gt;=0)),1,"-"))</f>
        <v>-</v>
      </c>
      <c r="L212" s="506" t="str">
        <f>IF(T212="NA","NA",IF(AND(T212&lt;&gt;"",OR(T212="NS",T212&gt;=0)),1,"-"))</f>
        <v>-</v>
      </c>
      <c r="M212" s="540"/>
      <c r="N212" s="558"/>
      <c r="O212" s="573"/>
      <c r="P212" s="530"/>
      <c r="Q212" s="540"/>
      <c r="R212" s="558"/>
      <c r="S212" s="573"/>
      <c r="T212" s="530"/>
      <c r="U212" s="646" t="s">
        <v>8</v>
      </c>
      <c r="V212" s="646" t="e">
        <f>IF(COUNTIF(Q212:T219,"NA")/COUNTA(Q212:T219)=1,"NA","")</f>
        <v>#DIV/0!</v>
      </c>
      <c r="W212" s="655" t="str">
        <f>IF(COUNTIF(Q212:T219,0)&gt;0,0,"")</f>
        <v/>
      </c>
      <c r="X212" s="16"/>
      <c r="Y212" s="16"/>
      <c r="Z212" s="16"/>
      <c r="AA212" s="16"/>
      <c r="AB212" s="16"/>
      <c r="AC212" s="16"/>
    </row>
    <row r="213" spans="1:29" ht="25.5">
      <c r="A213" s="379" t="s">
        <v>182</v>
      </c>
      <c r="B213" s="82"/>
      <c r="C213" s="60" t="s">
        <v>562</v>
      </c>
      <c r="D213" s="92"/>
      <c r="E213" s="501"/>
      <c r="F213" s="501"/>
      <c r="G213" s="501"/>
      <c r="H213" s="501"/>
      <c r="I213" s="506"/>
      <c r="J213" s="506"/>
      <c r="K213" s="506"/>
      <c r="L213" s="506"/>
      <c r="M213" s="540"/>
      <c r="N213" s="558"/>
      <c r="O213" s="573"/>
      <c r="P213" s="530"/>
      <c r="Q213" s="540"/>
      <c r="R213" s="558"/>
      <c r="S213" s="573"/>
      <c r="T213" s="530"/>
      <c r="U213" s="647"/>
      <c r="V213" s="647"/>
      <c r="W213" s="655"/>
      <c r="X213" s="16"/>
      <c r="Y213" s="16"/>
      <c r="Z213" s="16"/>
      <c r="AA213" s="16"/>
      <c r="AB213" s="16"/>
      <c r="AC213" s="16"/>
    </row>
    <row r="214" spans="1:29">
      <c r="A214" s="121"/>
      <c r="B214" s="82"/>
      <c r="C214" s="60"/>
      <c r="D214" s="92"/>
      <c r="E214" s="501"/>
      <c r="F214" s="501"/>
      <c r="G214" s="501"/>
      <c r="H214" s="501"/>
      <c r="I214" s="506"/>
      <c r="J214" s="506"/>
      <c r="K214" s="506"/>
      <c r="L214" s="506"/>
      <c r="M214" s="540"/>
      <c r="N214" s="558"/>
      <c r="O214" s="573"/>
      <c r="P214" s="530"/>
      <c r="Q214" s="540"/>
      <c r="R214" s="558"/>
      <c r="S214" s="573"/>
      <c r="T214" s="530"/>
      <c r="U214" s="647"/>
      <c r="V214" s="647"/>
      <c r="W214" s="655"/>
      <c r="X214" s="16"/>
      <c r="Y214" s="16"/>
      <c r="Z214" s="16"/>
      <c r="AA214" s="16"/>
      <c r="AB214" s="16"/>
      <c r="AC214" s="16"/>
    </row>
    <row r="215" spans="1:29">
      <c r="A215" s="121"/>
      <c r="B215" s="82"/>
      <c r="C215" s="224" t="s">
        <v>430</v>
      </c>
      <c r="D215" s="92"/>
      <c r="E215" s="501"/>
      <c r="F215" s="501"/>
      <c r="G215" s="501"/>
      <c r="H215" s="501"/>
      <c r="I215" s="506"/>
      <c r="J215" s="506"/>
      <c r="K215" s="506"/>
      <c r="L215" s="506"/>
      <c r="M215" s="540"/>
      <c r="N215" s="558"/>
      <c r="O215" s="573"/>
      <c r="P215" s="530"/>
      <c r="Q215" s="540"/>
      <c r="R215" s="558"/>
      <c r="S215" s="573"/>
      <c r="T215" s="530"/>
      <c r="U215" s="647"/>
      <c r="V215" s="647"/>
      <c r="W215" s="655"/>
      <c r="X215" s="16"/>
      <c r="Y215" s="16"/>
      <c r="Z215" s="16"/>
      <c r="AA215" s="16"/>
      <c r="AB215" s="16"/>
      <c r="AC215" s="16"/>
    </row>
    <row r="216" spans="1:29" ht="30" customHeight="1">
      <c r="A216" s="121"/>
      <c r="B216" s="82"/>
      <c r="C216" s="65" t="str">
        <f>"Category A   " &amp; IFERROR(VLOOKUP(E212,AH:AI,2,FALSE),"")</f>
        <v xml:space="preserve">Category A   </v>
      </c>
      <c r="D216" s="92"/>
      <c r="E216" s="501"/>
      <c r="F216" s="501"/>
      <c r="G216" s="501"/>
      <c r="H216" s="501"/>
      <c r="I216" s="506"/>
      <c r="J216" s="506"/>
      <c r="K216" s="506"/>
      <c r="L216" s="506"/>
      <c r="M216" s="540"/>
      <c r="N216" s="558"/>
      <c r="O216" s="573"/>
      <c r="P216" s="530"/>
      <c r="Q216" s="540"/>
      <c r="R216" s="558"/>
      <c r="S216" s="573"/>
      <c r="T216" s="530"/>
      <c r="U216" s="647"/>
      <c r="V216" s="647"/>
      <c r="W216" s="655"/>
      <c r="X216" s="16"/>
      <c r="Y216" s="16"/>
      <c r="Z216" s="16"/>
      <c r="AA216" s="16"/>
      <c r="AB216" s="16"/>
      <c r="AC216" s="16"/>
    </row>
    <row r="217" spans="1:29" ht="30" customHeight="1">
      <c r="A217" s="121"/>
      <c r="B217" s="82"/>
      <c r="C217" s="65" t="str">
        <f>"Category B   " &amp; IFERROR(VLOOKUP(F212,AH:AI,2,FALSE),"")</f>
        <v xml:space="preserve">Category B   </v>
      </c>
      <c r="D217" s="92"/>
      <c r="E217" s="501"/>
      <c r="F217" s="501"/>
      <c r="G217" s="501"/>
      <c r="H217" s="501"/>
      <c r="I217" s="506"/>
      <c r="J217" s="506"/>
      <c r="K217" s="506"/>
      <c r="L217" s="506"/>
      <c r="M217" s="540"/>
      <c r="N217" s="558"/>
      <c r="O217" s="573"/>
      <c r="P217" s="530"/>
      <c r="Q217" s="540"/>
      <c r="R217" s="558"/>
      <c r="S217" s="573"/>
      <c r="T217" s="530"/>
      <c r="U217" s="647"/>
      <c r="V217" s="647"/>
      <c r="W217" s="655"/>
      <c r="X217" s="16"/>
      <c r="Y217" s="16"/>
      <c r="Z217" s="16"/>
      <c r="AA217" s="16"/>
      <c r="AB217" s="16"/>
      <c r="AC217" s="16"/>
    </row>
    <row r="218" spans="1:29" ht="30" customHeight="1">
      <c r="A218" s="121"/>
      <c r="B218" s="82"/>
      <c r="C218" s="65" t="str">
        <f>"Category C   " &amp; IFERROR(VLOOKUP(G212,AH:AI,2,FALSE),"")</f>
        <v xml:space="preserve">Category C   </v>
      </c>
      <c r="D218" s="92"/>
      <c r="E218" s="501"/>
      <c r="F218" s="501"/>
      <c r="G218" s="501"/>
      <c r="H218" s="501"/>
      <c r="I218" s="506"/>
      <c r="J218" s="506"/>
      <c r="K218" s="506"/>
      <c r="L218" s="506"/>
      <c r="M218" s="540"/>
      <c r="N218" s="558"/>
      <c r="O218" s="573"/>
      <c r="P218" s="530"/>
      <c r="Q218" s="540"/>
      <c r="R218" s="558"/>
      <c r="S218" s="573"/>
      <c r="T218" s="530"/>
      <c r="U218" s="647"/>
      <c r="V218" s="647"/>
      <c r="W218" s="655"/>
      <c r="X218" s="16"/>
      <c r="Y218" s="16"/>
      <c r="Z218" s="16"/>
      <c r="AA218" s="16"/>
      <c r="AB218" s="16"/>
      <c r="AC218" s="16"/>
    </row>
    <row r="219" spans="1:29" ht="30" customHeight="1">
      <c r="A219" s="121"/>
      <c r="B219" s="82"/>
      <c r="C219" s="65" t="str">
        <f>"Category D   " &amp; IFERROR(VLOOKUP(H212,AH:AI,2,FALSE),"")</f>
        <v xml:space="preserve">Category D   </v>
      </c>
      <c r="D219" s="92"/>
      <c r="E219" s="501"/>
      <c r="F219" s="501"/>
      <c r="G219" s="501"/>
      <c r="H219" s="501"/>
      <c r="I219" s="506"/>
      <c r="J219" s="506"/>
      <c r="K219" s="506"/>
      <c r="L219" s="506"/>
      <c r="M219" s="540"/>
      <c r="N219" s="558"/>
      <c r="O219" s="573"/>
      <c r="P219" s="530"/>
      <c r="Q219" s="540"/>
      <c r="R219" s="558"/>
      <c r="S219" s="573"/>
      <c r="T219" s="530"/>
      <c r="U219" s="648"/>
      <c r="V219" s="648"/>
      <c r="W219" s="656"/>
      <c r="X219" s="16"/>
      <c r="Y219" s="16"/>
      <c r="Z219" s="16"/>
      <c r="AA219" s="16"/>
      <c r="AB219" s="16"/>
      <c r="AC219" s="16"/>
    </row>
    <row r="220" spans="1:29" ht="38.25">
      <c r="A220" s="379" t="s">
        <v>192</v>
      </c>
      <c r="B220" s="82"/>
      <c r="C220" s="60" t="s">
        <v>563</v>
      </c>
      <c r="D220" s="92"/>
      <c r="E220" s="544" t="str">
        <f>IF(Q220=1,"1B",Q220)</f>
        <v>Insert No. of Credit(s) Here</v>
      </c>
      <c r="F220" s="501"/>
      <c r="G220" s="501"/>
      <c r="H220" s="501"/>
      <c r="I220" s="506" t="s">
        <v>60</v>
      </c>
      <c r="J220" s="506"/>
      <c r="K220" s="506"/>
      <c r="L220" s="506"/>
      <c r="M220" s="540" t="s">
        <v>435</v>
      </c>
      <c r="N220" s="540"/>
      <c r="O220" s="540"/>
      <c r="P220" s="540"/>
      <c r="Q220" s="540" t="s">
        <v>435</v>
      </c>
      <c r="R220" s="540"/>
      <c r="S220" s="540"/>
      <c r="T220" s="540"/>
      <c r="U220" s="646"/>
      <c r="V220" s="655" t="str">
        <f>IF(Q220="NA","NA","")</f>
        <v/>
      </c>
      <c r="W220" s="655" t="str">
        <f>IF(Q220=0,0,"")</f>
        <v/>
      </c>
      <c r="X220" s="16"/>
      <c r="Y220" s="16"/>
      <c r="Z220" s="16"/>
      <c r="AA220" s="16"/>
      <c r="AB220" s="16"/>
      <c r="AC220" s="16"/>
    </row>
    <row r="221" spans="1:29">
      <c r="A221" s="121"/>
      <c r="B221" s="82"/>
      <c r="C221" s="60"/>
      <c r="D221" s="92"/>
      <c r="E221" s="501"/>
      <c r="F221" s="501"/>
      <c r="G221" s="501"/>
      <c r="H221" s="501"/>
      <c r="I221" s="506"/>
      <c r="J221" s="506"/>
      <c r="K221" s="506"/>
      <c r="L221" s="506"/>
      <c r="M221" s="540"/>
      <c r="N221" s="540"/>
      <c r="O221" s="540"/>
      <c r="P221" s="540"/>
      <c r="Q221" s="540"/>
      <c r="R221" s="540"/>
      <c r="S221" s="540"/>
      <c r="T221" s="540"/>
      <c r="U221" s="647"/>
      <c r="V221" s="655"/>
      <c r="W221" s="655"/>
      <c r="X221" s="16"/>
      <c r="Y221" s="16"/>
      <c r="Z221" s="16"/>
      <c r="AA221" s="16"/>
      <c r="AB221" s="16"/>
      <c r="AC221" s="16"/>
    </row>
    <row r="222" spans="1:29">
      <c r="A222" s="121"/>
      <c r="B222" s="82"/>
      <c r="C222" s="224" t="s">
        <v>430</v>
      </c>
      <c r="D222" s="92"/>
      <c r="E222" s="501"/>
      <c r="F222" s="501"/>
      <c r="G222" s="501"/>
      <c r="H222" s="501"/>
      <c r="I222" s="506"/>
      <c r="J222" s="506"/>
      <c r="K222" s="506"/>
      <c r="L222" s="506"/>
      <c r="M222" s="540"/>
      <c r="N222" s="540"/>
      <c r="O222" s="540"/>
      <c r="P222" s="540"/>
      <c r="Q222" s="540"/>
      <c r="R222" s="540"/>
      <c r="S222" s="540"/>
      <c r="T222" s="540"/>
      <c r="U222" s="647"/>
      <c r="V222" s="655"/>
      <c r="W222" s="655"/>
      <c r="X222" s="16"/>
      <c r="Y222" s="16"/>
      <c r="Z222" s="16"/>
      <c r="AA222" s="16"/>
      <c r="AB222" s="16"/>
      <c r="AC222" s="16"/>
    </row>
    <row r="223" spans="1:29" ht="30" customHeight="1">
      <c r="A223" s="122"/>
      <c r="B223" s="183"/>
      <c r="C223" s="193" t="str">
        <f>IFERROR(VLOOKUP($E220,$AH:$AI,2,FALSE),"-")</f>
        <v>-</v>
      </c>
      <c r="D223" s="192"/>
      <c r="E223" s="501"/>
      <c r="F223" s="501"/>
      <c r="G223" s="501"/>
      <c r="H223" s="501"/>
      <c r="I223" s="506"/>
      <c r="J223" s="506"/>
      <c r="K223" s="506"/>
      <c r="L223" s="506"/>
      <c r="M223" s="540"/>
      <c r="N223" s="540"/>
      <c r="O223" s="540"/>
      <c r="P223" s="540"/>
      <c r="Q223" s="540"/>
      <c r="R223" s="540"/>
      <c r="S223" s="540"/>
      <c r="T223" s="540"/>
      <c r="U223" s="648"/>
      <c r="V223" s="656"/>
      <c r="W223" s="656"/>
      <c r="X223" s="16"/>
      <c r="Y223" s="16"/>
      <c r="Z223" s="16"/>
      <c r="AA223" s="16"/>
      <c r="AB223" s="16"/>
      <c r="AC223" s="16"/>
    </row>
    <row r="224" spans="1:29" ht="22.5" customHeight="1">
      <c r="A224" s="120" t="s">
        <v>159</v>
      </c>
      <c r="B224" s="139"/>
      <c r="C224" s="161" t="s">
        <v>328</v>
      </c>
      <c r="D224" s="351"/>
      <c r="E224" s="501" t="str">
        <f>IF(Q224&lt;&gt;"",Q224,"")</f>
        <v/>
      </c>
      <c r="F224" s="501" t="str">
        <f>IF(R224&lt;&gt;"",R224,"")</f>
        <v/>
      </c>
      <c r="G224" s="501" t="str">
        <f>IF(S224&lt;&gt;"",S224,"")</f>
        <v/>
      </c>
      <c r="H224" s="501" t="str">
        <f>IF(T224&lt;&gt;"",T224,"")</f>
        <v/>
      </c>
      <c r="I224" s="506" t="str">
        <f>IF(Q224="NA","NA",IF(AND(Q224&lt;&gt;"",OR(Q224="NS",Q224&gt;=0)),1,"-"))</f>
        <v>-</v>
      </c>
      <c r="J224" s="506" t="str">
        <f>IF(R224="NA","NA",IF(AND(R224&lt;&gt;"",OR(R224="NS",R224&gt;=0)),1,"-"))</f>
        <v>-</v>
      </c>
      <c r="K224" s="506" t="str">
        <f>IF(S224="NA","NA",IF(AND(S224&lt;&gt;"",OR(S224="NS",S224&gt;=0)),1,"-"))</f>
        <v>-</v>
      </c>
      <c r="L224" s="506" t="str">
        <f>IF(T224="NA","NA",IF(AND(T224&lt;&gt;"",OR(T224="NS",T224&gt;=0)),1,"-"))</f>
        <v>-</v>
      </c>
      <c r="M224" s="540"/>
      <c r="N224" s="558"/>
      <c r="O224" s="573"/>
      <c r="P224" s="530"/>
      <c r="Q224" s="540"/>
      <c r="R224" s="558"/>
      <c r="S224" s="573"/>
      <c r="T224" s="530"/>
      <c r="U224" s="646" t="s">
        <v>160</v>
      </c>
      <c r="V224" s="646" t="e">
        <f>IF(COUNTIF(Q224:T231,"NA")/COUNTA(Q224:T231)=1,"NA","")</f>
        <v>#DIV/0!</v>
      </c>
      <c r="W224" s="655" t="str">
        <f>IF(COUNTIF(Q224:T231,0)&gt;0,0,"")</f>
        <v/>
      </c>
      <c r="X224" s="16"/>
      <c r="Y224" s="16"/>
      <c r="Z224" s="16"/>
      <c r="AA224" s="16"/>
      <c r="AB224" s="16"/>
      <c r="AC224" s="16"/>
    </row>
    <row r="225" spans="1:29" ht="25.5">
      <c r="A225" s="379" t="s">
        <v>182</v>
      </c>
      <c r="B225" s="82"/>
      <c r="C225" s="60" t="s">
        <v>9</v>
      </c>
      <c r="D225" s="92"/>
      <c r="E225" s="501"/>
      <c r="F225" s="501"/>
      <c r="G225" s="501"/>
      <c r="H225" s="501"/>
      <c r="I225" s="506"/>
      <c r="J225" s="506"/>
      <c r="K225" s="506"/>
      <c r="L225" s="506"/>
      <c r="M225" s="540"/>
      <c r="N225" s="558"/>
      <c r="O225" s="573"/>
      <c r="P225" s="530"/>
      <c r="Q225" s="540"/>
      <c r="R225" s="558"/>
      <c r="S225" s="573"/>
      <c r="T225" s="530"/>
      <c r="U225" s="647"/>
      <c r="V225" s="647"/>
      <c r="W225" s="655"/>
      <c r="X225" s="16"/>
      <c r="Y225" s="16"/>
      <c r="Z225" s="16"/>
      <c r="AA225" s="16"/>
      <c r="AB225" s="16"/>
      <c r="AC225" s="16"/>
    </row>
    <row r="226" spans="1:29">
      <c r="A226" s="121"/>
      <c r="B226" s="82"/>
      <c r="C226" s="60"/>
      <c r="D226" s="92"/>
      <c r="E226" s="501"/>
      <c r="F226" s="501"/>
      <c r="G226" s="501"/>
      <c r="H226" s="501"/>
      <c r="I226" s="506"/>
      <c r="J226" s="506"/>
      <c r="K226" s="506"/>
      <c r="L226" s="506"/>
      <c r="M226" s="540"/>
      <c r="N226" s="558"/>
      <c r="O226" s="573"/>
      <c r="P226" s="530"/>
      <c r="Q226" s="540"/>
      <c r="R226" s="558"/>
      <c r="S226" s="573"/>
      <c r="T226" s="530"/>
      <c r="U226" s="647"/>
      <c r="V226" s="647"/>
      <c r="W226" s="655"/>
      <c r="X226" s="16"/>
      <c r="Y226" s="16"/>
      <c r="Z226" s="16"/>
      <c r="AA226" s="16"/>
      <c r="AB226" s="16"/>
      <c r="AC226" s="16"/>
    </row>
    <row r="227" spans="1:29">
      <c r="A227" s="121"/>
      <c r="B227" s="82"/>
      <c r="C227" s="224" t="s">
        <v>430</v>
      </c>
      <c r="D227" s="92"/>
      <c r="E227" s="501"/>
      <c r="F227" s="501"/>
      <c r="G227" s="501"/>
      <c r="H227" s="501"/>
      <c r="I227" s="506"/>
      <c r="J227" s="506"/>
      <c r="K227" s="506"/>
      <c r="L227" s="506"/>
      <c r="M227" s="540"/>
      <c r="N227" s="558"/>
      <c r="O227" s="573"/>
      <c r="P227" s="530"/>
      <c r="Q227" s="540"/>
      <c r="R227" s="558"/>
      <c r="S227" s="573"/>
      <c r="T227" s="530"/>
      <c r="U227" s="647"/>
      <c r="V227" s="647"/>
      <c r="W227" s="655"/>
      <c r="X227" s="16"/>
      <c r="Y227" s="16"/>
      <c r="Z227" s="16"/>
      <c r="AA227" s="16"/>
      <c r="AB227" s="16"/>
      <c r="AC227" s="16"/>
    </row>
    <row r="228" spans="1:29" ht="30" customHeight="1">
      <c r="A228" s="121"/>
      <c r="B228" s="82"/>
      <c r="C228" s="65" t="str">
        <f>"Category A   " &amp; IFERROR(VLOOKUP(E224,AH:AI,2,FALSE),"")</f>
        <v xml:space="preserve">Category A   </v>
      </c>
      <c r="D228" s="92"/>
      <c r="E228" s="501"/>
      <c r="F228" s="501"/>
      <c r="G228" s="501"/>
      <c r="H228" s="501"/>
      <c r="I228" s="506"/>
      <c r="J228" s="506"/>
      <c r="K228" s="506"/>
      <c r="L228" s="506"/>
      <c r="M228" s="540"/>
      <c r="N228" s="558"/>
      <c r="O228" s="573"/>
      <c r="P228" s="530"/>
      <c r="Q228" s="540"/>
      <c r="R228" s="558"/>
      <c r="S228" s="573"/>
      <c r="T228" s="530"/>
      <c r="U228" s="647"/>
      <c r="V228" s="647"/>
      <c r="W228" s="655"/>
      <c r="X228" s="16"/>
      <c r="Y228" s="16"/>
      <c r="Z228" s="16"/>
      <c r="AA228" s="16"/>
      <c r="AB228" s="16"/>
      <c r="AC228" s="16"/>
    </row>
    <row r="229" spans="1:29" ht="30" customHeight="1">
      <c r="A229" s="121"/>
      <c r="B229" s="82"/>
      <c r="C229" s="65" t="str">
        <f>"Category B   " &amp; IFERROR(VLOOKUP(F224,AH:AI,2,FALSE),"")</f>
        <v xml:space="preserve">Category B   </v>
      </c>
      <c r="D229" s="92"/>
      <c r="E229" s="501"/>
      <c r="F229" s="501"/>
      <c r="G229" s="501"/>
      <c r="H229" s="501"/>
      <c r="I229" s="506"/>
      <c r="J229" s="506"/>
      <c r="K229" s="506"/>
      <c r="L229" s="506"/>
      <c r="M229" s="540"/>
      <c r="N229" s="558"/>
      <c r="O229" s="573"/>
      <c r="P229" s="530"/>
      <c r="Q229" s="540"/>
      <c r="R229" s="558"/>
      <c r="S229" s="573"/>
      <c r="T229" s="530"/>
      <c r="U229" s="647"/>
      <c r="V229" s="647"/>
      <c r="W229" s="655"/>
      <c r="X229" s="16"/>
      <c r="Y229" s="16"/>
      <c r="Z229" s="16"/>
      <c r="AA229" s="16"/>
      <c r="AB229" s="16"/>
      <c r="AC229" s="16"/>
    </row>
    <row r="230" spans="1:29" ht="30" customHeight="1">
      <c r="A230" s="121"/>
      <c r="B230" s="82"/>
      <c r="C230" s="65" t="str">
        <f>"Category C   " &amp; IFERROR(VLOOKUP(G224,AH:AI,2,FALSE),"")</f>
        <v xml:space="preserve">Category C   </v>
      </c>
      <c r="D230" s="92"/>
      <c r="E230" s="501"/>
      <c r="F230" s="501"/>
      <c r="G230" s="501"/>
      <c r="H230" s="501"/>
      <c r="I230" s="506"/>
      <c r="J230" s="506"/>
      <c r="K230" s="506"/>
      <c r="L230" s="506"/>
      <c r="M230" s="540"/>
      <c r="N230" s="558"/>
      <c r="O230" s="573"/>
      <c r="P230" s="530"/>
      <c r="Q230" s="540"/>
      <c r="R230" s="558"/>
      <c r="S230" s="573"/>
      <c r="T230" s="530"/>
      <c r="U230" s="647"/>
      <c r="V230" s="647"/>
      <c r="W230" s="655"/>
      <c r="X230" s="16"/>
      <c r="Y230" s="16"/>
      <c r="Z230" s="16"/>
      <c r="AA230" s="16"/>
      <c r="AB230" s="16"/>
      <c r="AC230" s="16"/>
    </row>
    <row r="231" spans="1:29" ht="30" customHeight="1">
      <c r="A231" s="122"/>
      <c r="B231" s="183"/>
      <c r="C231" s="193" t="str">
        <f>"Category D   " &amp; IFERROR(VLOOKUP(H224,AH:AI,2,FALSE),"")</f>
        <v xml:space="preserve">Category D   </v>
      </c>
      <c r="D231" s="192"/>
      <c r="E231" s="501"/>
      <c r="F231" s="501"/>
      <c r="G231" s="501"/>
      <c r="H231" s="501"/>
      <c r="I231" s="506"/>
      <c r="J231" s="506"/>
      <c r="K231" s="506"/>
      <c r="L231" s="506"/>
      <c r="M231" s="540"/>
      <c r="N231" s="558"/>
      <c r="O231" s="573"/>
      <c r="P231" s="530"/>
      <c r="Q231" s="540"/>
      <c r="R231" s="558"/>
      <c r="S231" s="573"/>
      <c r="T231" s="530"/>
      <c r="U231" s="648"/>
      <c r="V231" s="648"/>
      <c r="W231" s="656"/>
      <c r="X231" s="16"/>
      <c r="Y231" s="16"/>
      <c r="Z231" s="16"/>
      <c r="AA231" s="16"/>
      <c r="AB231" s="16"/>
      <c r="AC231" s="16"/>
    </row>
    <row r="232" spans="1:29" ht="22.5" customHeight="1">
      <c r="A232" s="120" t="s">
        <v>161</v>
      </c>
      <c r="B232" s="139"/>
      <c r="C232" s="161" t="s">
        <v>565</v>
      </c>
      <c r="D232" s="351"/>
      <c r="E232" s="501" t="str">
        <f>IF(Q232&lt;&gt;"",Q232,"")</f>
        <v/>
      </c>
      <c r="F232" s="501" t="str">
        <f>IF(R232&lt;&gt;"",R232,"")</f>
        <v/>
      </c>
      <c r="G232" s="501" t="str">
        <f>IF(S232&lt;&gt;"",S232,"")</f>
        <v/>
      </c>
      <c r="H232" s="501" t="str">
        <f>IF(T232&lt;&gt;"",T232,"")</f>
        <v/>
      </c>
      <c r="I232" s="506" t="str">
        <f>IF(Q232="NA","NA",IF(AND(Q232&lt;&gt;"",OR(Q232="NS",Q232&gt;=0)),1,"-"))</f>
        <v>-</v>
      </c>
      <c r="J232" s="506" t="str">
        <f>IF(R232="NA","NA",IF(AND(R232&lt;&gt;"",OR(R232="NS",R232&gt;=0)),1,"-"))</f>
        <v>-</v>
      </c>
      <c r="K232" s="506" t="str">
        <f>IF(S232="NA","NA",IF(AND(S232&lt;&gt;"",OR(S232="NS",S232&gt;=0)),1,"-"))</f>
        <v>-</v>
      </c>
      <c r="L232" s="506" t="str">
        <f>IF(T232="NA","NA",IF(AND(T232&lt;&gt;"",OR(T232="NS",T232&gt;=0)),1,"-"))</f>
        <v>-</v>
      </c>
      <c r="M232" s="540"/>
      <c r="N232" s="558"/>
      <c r="O232" s="573"/>
      <c r="P232" s="530"/>
      <c r="Q232" s="540"/>
      <c r="R232" s="558"/>
      <c r="S232" s="573"/>
      <c r="T232" s="530"/>
      <c r="U232" s="646"/>
      <c r="V232" s="646" t="e">
        <f>IF(COUNTIF(Q232:T239,"NA")/COUNTA(Q232:T239)=1,"NA","")</f>
        <v>#DIV/0!</v>
      </c>
      <c r="W232" s="655" t="str">
        <f>IF(COUNTIF(Q232:T239,0)&gt;0,0,"")</f>
        <v/>
      </c>
      <c r="X232" s="16"/>
      <c r="Y232" s="16"/>
      <c r="Z232" s="16"/>
      <c r="AA232" s="16"/>
      <c r="AB232" s="16"/>
      <c r="AC232" s="16"/>
    </row>
    <row r="233" spans="1:29" ht="25.5">
      <c r="A233" s="379" t="s">
        <v>182</v>
      </c>
      <c r="B233" s="82"/>
      <c r="C233" s="60" t="s">
        <v>564</v>
      </c>
      <c r="D233" s="92"/>
      <c r="E233" s="501"/>
      <c r="F233" s="501"/>
      <c r="G233" s="501"/>
      <c r="H233" s="501"/>
      <c r="I233" s="506"/>
      <c r="J233" s="506"/>
      <c r="K233" s="506"/>
      <c r="L233" s="506"/>
      <c r="M233" s="540"/>
      <c r="N233" s="558"/>
      <c r="O233" s="573"/>
      <c r="P233" s="530"/>
      <c r="Q233" s="540"/>
      <c r="R233" s="558"/>
      <c r="S233" s="573"/>
      <c r="T233" s="530"/>
      <c r="U233" s="647"/>
      <c r="V233" s="647"/>
      <c r="W233" s="655"/>
      <c r="X233" s="16"/>
      <c r="Y233" s="16"/>
      <c r="Z233" s="16"/>
      <c r="AA233" s="16"/>
      <c r="AB233" s="16"/>
      <c r="AC233" s="16"/>
    </row>
    <row r="234" spans="1:29">
      <c r="A234" s="121"/>
      <c r="B234" s="82"/>
      <c r="C234" s="60"/>
      <c r="D234" s="92"/>
      <c r="E234" s="501"/>
      <c r="F234" s="501"/>
      <c r="G234" s="501"/>
      <c r="H234" s="501"/>
      <c r="I234" s="506"/>
      <c r="J234" s="506"/>
      <c r="K234" s="506"/>
      <c r="L234" s="506"/>
      <c r="M234" s="540"/>
      <c r="N234" s="558"/>
      <c r="O234" s="573"/>
      <c r="P234" s="530"/>
      <c r="Q234" s="540"/>
      <c r="R234" s="558"/>
      <c r="S234" s="573"/>
      <c r="T234" s="530"/>
      <c r="U234" s="647"/>
      <c r="V234" s="647"/>
      <c r="W234" s="655"/>
      <c r="X234" s="16"/>
      <c r="Y234" s="16"/>
      <c r="Z234" s="16"/>
      <c r="AA234" s="16"/>
      <c r="AB234" s="16"/>
      <c r="AC234" s="16"/>
    </row>
    <row r="235" spans="1:29">
      <c r="A235" s="121"/>
      <c r="B235" s="82"/>
      <c r="C235" s="224" t="s">
        <v>430</v>
      </c>
      <c r="D235" s="92"/>
      <c r="E235" s="501"/>
      <c r="F235" s="501"/>
      <c r="G235" s="501"/>
      <c r="H235" s="501"/>
      <c r="I235" s="506"/>
      <c r="J235" s="506"/>
      <c r="K235" s="506"/>
      <c r="L235" s="506"/>
      <c r="M235" s="540"/>
      <c r="N235" s="558"/>
      <c r="O235" s="573"/>
      <c r="P235" s="530"/>
      <c r="Q235" s="540"/>
      <c r="R235" s="558"/>
      <c r="S235" s="573"/>
      <c r="T235" s="530"/>
      <c r="U235" s="647"/>
      <c r="V235" s="647"/>
      <c r="W235" s="655"/>
      <c r="X235" s="16"/>
      <c r="Y235" s="16"/>
      <c r="Z235" s="16"/>
      <c r="AA235" s="16"/>
      <c r="AB235" s="16"/>
      <c r="AC235" s="16"/>
    </row>
    <row r="236" spans="1:29" ht="30" customHeight="1">
      <c r="A236" s="121"/>
      <c r="B236" s="82"/>
      <c r="C236" s="65" t="str">
        <f>"Category A   " &amp; IFERROR(VLOOKUP(E232,AH:AI,2,FALSE),"")</f>
        <v xml:space="preserve">Category A   </v>
      </c>
      <c r="D236" s="92"/>
      <c r="E236" s="501"/>
      <c r="F236" s="501"/>
      <c r="G236" s="501"/>
      <c r="H236" s="501"/>
      <c r="I236" s="506"/>
      <c r="J236" s="506"/>
      <c r="K236" s="506"/>
      <c r="L236" s="506"/>
      <c r="M236" s="540"/>
      <c r="N236" s="558"/>
      <c r="O236" s="573"/>
      <c r="P236" s="530"/>
      <c r="Q236" s="540"/>
      <c r="R236" s="558"/>
      <c r="S236" s="573"/>
      <c r="T236" s="530"/>
      <c r="U236" s="647"/>
      <c r="V236" s="647"/>
      <c r="W236" s="655"/>
      <c r="X236" s="16"/>
      <c r="Y236" s="16"/>
      <c r="Z236" s="16"/>
      <c r="AA236" s="16"/>
      <c r="AB236" s="16"/>
      <c r="AC236" s="16"/>
    </row>
    <row r="237" spans="1:29" ht="30" customHeight="1">
      <c r="A237" s="121"/>
      <c r="B237" s="82"/>
      <c r="C237" s="65" t="str">
        <f>"Category B   " &amp; IFERROR(VLOOKUP(F232,AH:AI,2,FALSE),"")</f>
        <v xml:space="preserve">Category B   </v>
      </c>
      <c r="D237" s="92"/>
      <c r="E237" s="501"/>
      <c r="F237" s="501"/>
      <c r="G237" s="501"/>
      <c r="H237" s="501"/>
      <c r="I237" s="506"/>
      <c r="J237" s="506"/>
      <c r="K237" s="506"/>
      <c r="L237" s="506"/>
      <c r="M237" s="540"/>
      <c r="N237" s="558"/>
      <c r="O237" s="573"/>
      <c r="P237" s="530"/>
      <c r="Q237" s="540"/>
      <c r="R237" s="558"/>
      <c r="S237" s="573"/>
      <c r="T237" s="530"/>
      <c r="U237" s="647"/>
      <c r="V237" s="647"/>
      <c r="W237" s="655"/>
      <c r="X237" s="16"/>
      <c r="Y237" s="16"/>
      <c r="Z237" s="16"/>
      <c r="AA237" s="16"/>
      <c r="AB237" s="16"/>
      <c r="AC237" s="16"/>
    </row>
    <row r="238" spans="1:29" ht="30" customHeight="1">
      <c r="A238" s="121"/>
      <c r="B238" s="82"/>
      <c r="C238" s="65" t="str">
        <f>"Category C   " &amp; IFERROR(VLOOKUP(G232,AH:AI,2,FALSE),"")</f>
        <v xml:space="preserve">Category C   </v>
      </c>
      <c r="D238" s="92"/>
      <c r="E238" s="501"/>
      <c r="F238" s="501"/>
      <c r="G238" s="501"/>
      <c r="H238" s="501"/>
      <c r="I238" s="506"/>
      <c r="J238" s="506"/>
      <c r="K238" s="506"/>
      <c r="L238" s="506"/>
      <c r="M238" s="540"/>
      <c r="N238" s="558"/>
      <c r="O238" s="573"/>
      <c r="P238" s="530"/>
      <c r="Q238" s="540"/>
      <c r="R238" s="558"/>
      <c r="S238" s="573"/>
      <c r="T238" s="530"/>
      <c r="U238" s="647"/>
      <c r="V238" s="647"/>
      <c r="W238" s="655"/>
      <c r="X238" s="16"/>
      <c r="Y238" s="16"/>
      <c r="Z238" s="16"/>
      <c r="AA238" s="16"/>
      <c r="AB238" s="16"/>
      <c r="AC238" s="16"/>
    </row>
    <row r="239" spans="1:29" ht="30" customHeight="1">
      <c r="A239" s="122"/>
      <c r="B239" s="183"/>
      <c r="C239" s="193" t="str">
        <f>"Category D   " &amp; IFERROR(VLOOKUP(H232,AH:AI,2,FALSE),"")</f>
        <v xml:space="preserve">Category D   </v>
      </c>
      <c r="D239" s="192"/>
      <c r="E239" s="501"/>
      <c r="F239" s="501"/>
      <c r="G239" s="501"/>
      <c r="H239" s="501"/>
      <c r="I239" s="506"/>
      <c r="J239" s="506"/>
      <c r="K239" s="506"/>
      <c r="L239" s="506"/>
      <c r="M239" s="540"/>
      <c r="N239" s="558"/>
      <c r="O239" s="573"/>
      <c r="P239" s="530"/>
      <c r="Q239" s="540"/>
      <c r="R239" s="558"/>
      <c r="S239" s="573"/>
      <c r="T239" s="530"/>
      <c r="U239" s="648"/>
      <c r="V239" s="648"/>
      <c r="W239" s="656"/>
      <c r="X239" s="16"/>
      <c r="Y239" s="16"/>
      <c r="Z239" s="16"/>
      <c r="AA239" s="16"/>
      <c r="AB239" s="16"/>
      <c r="AC239" s="16"/>
    </row>
    <row r="240" spans="1:29" ht="22.5" customHeight="1">
      <c r="A240" s="115">
        <v>6.8</v>
      </c>
      <c r="B240" s="126"/>
      <c r="C240" s="128" t="s">
        <v>162</v>
      </c>
      <c r="D240" s="191"/>
      <c r="E240" s="500"/>
      <c r="F240" s="500"/>
      <c r="G240" s="500"/>
      <c r="H240" s="500"/>
      <c r="I240" s="141"/>
      <c r="J240" s="139"/>
      <c r="K240" s="139"/>
      <c r="L240" s="139"/>
      <c r="M240" s="139"/>
      <c r="N240" s="139"/>
      <c r="O240" s="139"/>
      <c r="P240" s="139"/>
      <c r="Q240" s="139"/>
      <c r="R240" s="139"/>
      <c r="S240" s="139"/>
      <c r="T240" s="139"/>
      <c r="U240" s="127"/>
      <c r="V240" s="127"/>
      <c r="W240" s="127"/>
      <c r="X240" s="16"/>
      <c r="Y240" s="16"/>
      <c r="Z240" s="16"/>
      <c r="AA240" s="16"/>
      <c r="AB240" s="16"/>
      <c r="AC240" s="16"/>
    </row>
    <row r="241" spans="1:29" ht="22.5" customHeight="1">
      <c r="A241" s="120" t="s">
        <v>163</v>
      </c>
      <c r="B241" s="139"/>
      <c r="C241" s="161" t="s">
        <v>592</v>
      </c>
      <c r="D241" s="351"/>
      <c r="E241" s="501" t="str">
        <f>IF(Q241&lt;&gt;"",Q241,"")</f>
        <v/>
      </c>
      <c r="F241" s="501" t="str">
        <f>IF(R241&lt;&gt;"",R241,"")</f>
        <v/>
      </c>
      <c r="G241" s="501" t="str">
        <f>IF(S241&lt;&gt;"",S241,"")</f>
        <v/>
      </c>
      <c r="H241" s="501" t="str">
        <f>IF(T241&lt;&gt;"",T241,"")</f>
        <v/>
      </c>
      <c r="I241" s="506" t="str">
        <f>IF(Q241="NA","NA",IF(AND(Q241&lt;&gt;"",OR(Q241="NS",Q241&gt;=0)),1,"-"))</f>
        <v>-</v>
      </c>
      <c r="J241" s="506" t="str">
        <f>IF(R241="NA","NA",IF(AND(R241&lt;&gt;"",OR(R241="NS",R241&gt;=0)),1,"-"))</f>
        <v>-</v>
      </c>
      <c r="K241" s="506" t="str">
        <f>IF(S241="NA","NA",IF(AND(S241&lt;&gt;"",OR(S241="NS",S241&gt;=0)),1,"-"))</f>
        <v>-</v>
      </c>
      <c r="L241" s="506" t="str">
        <f>IF(T241="NA","NA",IF(AND(T241&lt;&gt;"",OR(T241="NS",T241&gt;=0)),1,"-"))</f>
        <v>-</v>
      </c>
      <c r="M241" s="540"/>
      <c r="N241" s="558"/>
      <c r="O241" s="573"/>
      <c r="P241" s="530"/>
      <c r="Q241" s="540"/>
      <c r="R241" s="558"/>
      <c r="S241" s="573"/>
      <c r="T241" s="530"/>
      <c r="U241" s="646"/>
      <c r="V241" s="646" t="e">
        <f>IF(COUNTIF(Q241:T248,"NA")/COUNTA(Q241:T248)=1,"NA","")</f>
        <v>#DIV/0!</v>
      </c>
      <c r="W241" s="655" t="str">
        <f>IF(COUNTIF(Q241:T248,0)&gt;0,0,"")</f>
        <v/>
      </c>
      <c r="X241" s="16"/>
      <c r="Y241" s="16"/>
      <c r="Z241" s="16"/>
      <c r="AA241" s="16"/>
      <c r="AB241" s="16"/>
      <c r="AC241" s="16"/>
    </row>
    <row r="242" spans="1:29" ht="25.5">
      <c r="A242" s="379" t="s">
        <v>182</v>
      </c>
      <c r="B242" s="82"/>
      <c r="C242" s="60" t="s">
        <v>566</v>
      </c>
      <c r="D242" s="92"/>
      <c r="E242" s="501"/>
      <c r="F242" s="501"/>
      <c r="G242" s="501"/>
      <c r="H242" s="501"/>
      <c r="I242" s="506"/>
      <c r="J242" s="506"/>
      <c r="K242" s="506"/>
      <c r="L242" s="506"/>
      <c r="M242" s="540"/>
      <c r="N242" s="558"/>
      <c r="O242" s="573"/>
      <c r="P242" s="530"/>
      <c r="Q242" s="540"/>
      <c r="R242" s="558"/>
      <c r="S242" s="573"/>
      <c r="T242" s="530"/>
      <c r="U242" s="647"/>
      <c r="V242" s="647"/>
      <c r="W242" s="655"/>
      <c r="X242" s="16"/>
      <c r="Y242" s="16"/>
      <c r="Z242" s="16"/>
      <c r="AA242" s="16"/>
      <c r="AB242" s="16"/>
      <c r="AC242" s="16"/>
    </row>
    <row r="243" spans="1:29">
      <c r="A243" s="121"/>
      <c r="B243" s="82"/>
      <c r="C243" s="60"/>
      <c r="D243" s="92"/>
      <c r="E243" s="501"/>
      <c r="F243" s="501"/>
      <c r="G243" s="501"/>
      <c r="H243" s="501"/>
      <c r="I243" s="506"/>
      <c r="J243" s="506"/>
      <c r="K243" s="506"/>
      <c r="L243" s="506"/>
      <c r="M243" s="540"/>
      <c r="N243" s="558"/>
      <c r="O243" s="573"/>
      <c r="P243" s="530"/>
      <c r="Q243" s="540"/>
      <c r="R243" s="558"/>
      <c r="S243" s="573"/>
      <c r="T243" s="530"/>
      <c r="U243" s="647"/>
      <c r="V243" s="647"/>
      <c r="W243" s="655"/>
      <c r="X243" s="16"/>
      <c r="Y243" s="16"/>
      <c r="Z243" s="16"/>
      <c r="AA243" s="16"/>
      <c r="AB243" s="16"/>
      <c r="AC243" s="16"/>
    </row>
    <row r="244" spans="1:29">
      <c r="A244" s="121"/>
      <c r="B244" s="82"/>
      <c r="C244" s="224" t="s">
        <v>430</v>
      </c>
      <c r="D244" s="92"/>
      <c r="E244" s="501"/>
      <c r="F244" s="501"/>
      <c r="G244" s="501"/>
      <c r="H244" s="501"/>
      <c r="I244" s="506"/>
      <c r="J244" s="506"/>
      <c r="K244" s="506"/>
      <c r="L244" s="506"/>
      <c r="M244" s="540"/>
      <c r="N244" s="558"/>
      <c r="O244" s="573"/>
      <c r="P244" s="530"/>
      <c r="Q244" s="540"/>
      <c r="R244" s="558"/>
      <c r="S244" s="573"/>
      <c r="T244" s="530"/>
      <c r="U244" s="647"/>
      <c r="V244" s="647"/>
      <c r="W244" s="655"/>
      <c r="X244" s="16"/>
      <c r="Y244" s="16"/>
      <c r="Z244" s="16"/>
      <c r="AA244" s="16"/>
      <c r="AB244" s="16"/>
      <c r="AC244" s="16"/>
    </row>
    <row r="245" spans="1:29" ht="30" customHeight="1">
      <c r="A245" s="121"/>
      <c r="B245" s="82"/>
      <c r="C245" s="65" t="str">
        <f>"Category A   " &amp; IFERROR(VLOOKUP(E241,AH:AI,2,FALSE),"")</f>
        <v xml:space="preserve">Category A   </v>
      </c>
      <c r="D245" s="92"/>
      <c r="E245" s="501"/>
      <c r="F245" s="501"/>
      <c r="G245" s="501"/>
      <c r="H245" s="501"/>
      <c r="I245" s="506"/>
      <c r="J245" s="506"/>
      <c r="K245" s="506"/>
      <c r="L245" s="506"/>
      <c r="M245" s="540"/>
      <c r="N245" s="558"/>
      <c r="O245" s="573"/>
      <c r="P245" s="530"/>
      <c r="Q245" s="540"/>
      <c r="R245" s="558"/>
      <c r="S245" s="573"/>
      <c r="T245" s="530"/>
      <c r="U245" s="647"/>
      <c r="V245" s="647"/>
      <c r="W245" s="655"/>
      <c r="X245" s="16"/>
      <c r="Y245" s="16"/>
      <c r="Z245" s="16"/>
      <c r="AA245" s="16"/>
      <c r="AB245" s="16"/>
      <c r="AC245" s="16"/>
    </row>
    <row r="246" spans="1:29" ht="30" customHeight="1">
      <c r="A246" s="121"/>
      <c r="B246" s="82"/>
      <c r="C246" s="65" t="str">
        <f>"Category B   " &amp; IFERROR(VLOOKUP(F241,AH:AI,2,FALSE),"")</f>
        <v xml:space="preserve">Category B   </v>
      </c>
      <c r="D246" s="92"/>
      <c r="E246" s="501"/>
      <c r="F246" s="501"/>
      <c r="G246" s="501"/>
      <c r="H246" s="501"/>
      <c r="I246" s="506"/>
      <c r="J246" s="506"/>
      <c r="K246" s="506"/>
      <c r="L246" s="506"/>
      <c r="M246" s="540"/>
      <c r="N246" s="558"/>
      <c r="O246" s="573"/>
      <c r="P246" s="530"/>
      <c r="Q246" s="540"/>
      <c r="R246" s="558"/>
      <c r="S246" s="573"/>
      <c r="T246" s="530"/>
      <c r="U246" s="647"/>
      <c r="V246" s="647"/>
      <c r="W246" s="655"/>
      <c r="X246" s="16"/>
      <c r="Y246" s="16"/>
      <c r="Z246" s="16"/>
      <c r="AA246" s="16"/>
      <c r="AB246" s="16"/>
      <c r="AC246" s="16"/>
    </row>
    <row r="247" spans="1:29" ht="30" customHeight="1">
      <c r="A247" s="121"/>
      <c r="B247" s="82"/>
      <c r="C247" s="65" t="str">
        <f>"Category C   " &amp; IFERROR(VLOOKUP(G241,AH:AI,2,FALSE),"")</f>
        <v xml:space="preserve">Category C   </v>
      </c>
      <c r="D247" s="92"/>
      <c r="E247" s="501"/>
      <c r="F247" s="501"/>
      <c r="G247" s="501"/>
      <c r="H247" s="501"/>
      <c r="I247" s="506"/>
      <c r="J247" s="506"/>
      <c r="K247" s="506"/>
      <c r="L247" s="506"/>
      <c r="M247" s="540"/>
      <c r="N247" s="558"/>
      <c r="O247" s="573"/>
      <c r="P247" s="530"/>
      <c r="Q247" s="540"/>
      <c r="R247" s="558"/>
      <c r="S247" s="573"/>
      <c r="T247" s="530"/>
      <c r="U247" s="647"/>
      <c r="V247" s="647"/>
      <c r="W247" s="655"/>
      <c r="X247" s="16"/>
      <c r="Y247" s="16"/>
      <c r="Z247" s="16"/>
      <c r="AA247" s="16"/>
      <c r="AB247" s="16"/>
      <c r="AC247" s="16"/>
    </row>
    <row r="248" spans="1:29" ht="30" customHeight="1">
      <c r="A248" s="122"/>
      <c r="B248" s="183"/>
      <c r="C248" s="193" t="str">
        <f>"Category D   " &amp; IFERROR(VLOOKUP(H241,AH:AI,2,FALSE),"")</f>
        <v xml:space="preserve">Category D   </v>
      </c>
      <c r="D248" s="192"/>
      <c r="E248" s="501"/>
      <c r="F248" s="501"/>
      <c r="G248" s="501"/>
      <c r="H248" s="501"/>
      <c r="I248" s="506"/>
      <c r="J248" s="506"/>
      <c r="K248" s="506"/>
      <c r="L248" s="506"/>
      <c r="M248" s="540"/>
      <c r="N248" s="558"/>
      <c r="O248" s="573"/>
      <c r="P248" s="530"/>
      <c r="Q248" s="540"/>
      <c r="R248" s="558"/>
      <c r="S248" s="573"/>
      <c r="T248" s="530"/>
      <c r="U248" s="648"/>
      <c r="V248" s="648"/>
      <c r="W248" s="656"/>
      <c r="X248" s="16"/>
      <c r="Y248" s="16"/>
      <c r="Z248" s="16"/>
      <c r="AA248" s="16"/>
      <c r="AB248" s="16"/>
      <c r="AC248" s="16"/>
    </row>
    <row r="249" spans="1:29" ht="22.5" customHeight="1">
      <c r="A249" s="120" t="s">
        <v>164</v>
      </c>
      <c r="B249" s="139"/>
      <c r="C249" s="161" t="s">
        <v>330</v>
      </c>
      <c r="D249" s="351"/>
      <c r="E249" s="501" t="str">
        <f>IF(Q249&lt;&gt;"",Q249,"")</f>
        <v/>
      </c>
      <c r="F249" s="501" t="str">
        <f>IF(R249&lt;&gt;"",R249,"")</f>
        <v/>
      </c>
      <c r="G249" s="501" t="str">
        <f>IF(S249&lt;&gt;"",S249,"")</f>
        <v/>
      </c>
      <c r="H249" s="501" t="str">
        <f>IF(T249&lt;&gt;"",T249,"")</f>
        <v/>
      </c>
      <c r="I249" s="506" t="str">
        <f>IF(Q249="NA","NA",IF(AND(Q249&lt;&gt;"",OR(Q249="NS",Q249&gt;=0)),1,"-"))</f>
        <v>-</v>
      </c>
      <c r="J249" s="506" t="str">
        <f>IF(R249="NA","NA",IF(AND(R249&lt;&gt;"",OR(R249="NS",R249&gt;=0)),1,"-"))</f>
        <v>-</v>
      </c>
      <c r="K249" s="506" t="str">
        <f>IF(S249="NA","NA",IF(AND(S249&lt;&gt;"",OR(S249="NS",S249&gt;=0)),1,"-"))</f>
        <v>-</v>
      </c>
      <c r="L249" s="506" t="str">
        <f>IF(T249="NA","NA",IF(AND(T249&lt;&gt;"",OR(T249="NS",T249&gt;=0)),1,"-"))</f>
        <v>-</v>
      </c>
      <c r="M249" s="540"/>
      <c r="N249" s="558"/>
      <c r="O249" s="573"/>
      <c r="P249" s="530"/>
      <c r="Q249" s="540"/>
      <c r="R249" s="558"/>
      <c r="S249" s="573"/>
      <c r="T249" s="530"/>
      <c r="U249" s="654"/>
      <c r="V249" s="654" t="e">
        <f>IF(COUNTIF(Q249:T257,"NA")/COUNTA(Q249:T257)=1,"NA","")</f>
        <v>#DIV/0!</v>
      </c>
      <c r="W249" s="654" t="str">
        <f>IF(COUNTIF(Q249:T257,0)&gt;0,0,"")</f>
        <v/>
      </c>
      <c r="X249" s="16"/>
      <c r="Y249" s="16"/>
      <c r="Z249" s="16"/>
      <c r="AA249" s="16"/>
      <c r="AB249" s="16"/>
      <c r="AC249" s="16"/>
    </row>
    <row r="250" spans="1:29" ht="22.5" customHeight="1">
      <c r="A250" s="124" t="s">
        <v>329</v>
      </c>
      <c r="B250" s="59"/>
      <c r="C250" s="86" t="s">
        <v>593</v>
      </c>
      <c r="D250" s="92"/>
      <c r="E250" s="501"/>
      <c r="F250" s="501"/>
      <c r="G250" s="501"/>
      <c r="H250" s="501"/>
      <c r="I250" s="506"/>
      <c r="J250" s="506"/>
      <c r="K250" s="506"/>
      <c r="L250" s="506"/>
      <c r="M250" s="540"/>
      <c r="N250" s="558"/>
      <c r="O250" s="573"/>
      <c r="P250" s="530"/>
      <c r="Q250" s="540"/>
      <c r="R250" s="558"/>
      <c r="S250" s="573"/>
      <c r="T250" s="530"/>
      <c r="U250" s="655"/>
      <c r="V250" s="655"/>
      <c r="W250" s="655"/>
      <c r="X250" s="16"/>
      <c r="Y250" s="16"/>
      <c r="Z250" s="16"/>
      <c r="AA250" s="16"/>
      <c r="AB250" s="16"/>
      <c r="AC250" s="16"/>
    </row>
    <row r="251" spans="1:29" ht="25.5">
      <c r="A251" s="379" t="s">
        <v>182</v>
      </c>
      <c r="B251" s="82"/>
      <c r="C251" s="60" t="s">
        <v>567</v>
      </c>
      <c r="D251" s="92"/>
      <c r="E251" s="501"/>
      <c r="F251" s="501"/>
      <c r="G251" s="501"/>
      <c r="H251" s="501"/>
      <c r="I251" s="506"/>
      <c r="J251" s="506"/>
      <c r="K251" s="506"/>
      <c r="L251" s="506"/>
      <c r="M251" s="540"/>
      <c r="N251" s="558"/>
      <c r="O251" s="573"/>
      <c r="P251" s="530"/>
      <c r="Q251" s="540"/>
      <c r="R251" s="558"/>
      <c r="S251" s="573"/>
      <c r="T251" s="530"/>
      <c r="U251" s="655"/>
      <c r="V251" s="655"/>
      <c r="W251" s="655"/>
      <c r="X251" s="16"/>
      <c r="Y251" s="16"/>
      <c r="Z251" s="16"/>
      <c r="AA251" s="16"/>
      <c r="AB251" s="16"/>
      <c r="AC251" s="16"/>
    </row>
    <row r="252" spans="1:29">
      <c r="A252" s="121"/>
      <c r="B252" s="82"/>
      <c r="C252" s="60"/>
      <c r="D252" s="92"/>
      <c r="E252" s="501"/>
      <c r="F252" s="501"/>
      <c r="G252" s="501"/>
      <c r="H252" s="501"/>
      <c r="I252" s="506"/>
      <c r="J252" s="506"/>
      <c r="K252" s="506"/>
      <c r="L252" s="506"/>
      <c r="M252" s="540"/>
      <c r="N252" s="558"/>
      <c r="O252" s="573"/>
      <c r="P252" s="530"/>
      <c r="Q252" s="540"/>
      <c r="R252" s="558"/>
      <c r="S252" s="573"/>
      <c r="T252" s="530"/>
      <c r="U252" s="655"/>
      <c r="V252" s="655"/>
      <c r="W252" s="655"/>
      <c r="X252" s="16"/>
      <c r="Y252" s="16"/>
      <c r="Z252" s="16"/>
      <c r="AA252" s="16"/>
      <c r="AB252" s="16"/>
      <c r="AC252" s="16"/>
    </row>
    <row r="253" spans="1:29">
      <c r="A253" s="121"/>
      <c r="B253" s="82"/>
      <c r="C253" s="224" t="s">
        <v>430</v>
      </c>
      <c r="D253" s="92"/>
      <c r="E253" s="501"/>
      <c r="F253" s="501"/>
      <c r="G253" s="501"/>
      <c r="H253" s="501"/>
      <c r="I253" s="506"/>
      <c r="J253" s="506"/>
      <c r="K253" s="506"/>
      <c r="L253" s="506"/>
      <c r="M253" s="540"/>
      <c r="N253" s="558"/>
      <c r="O253" s="573"/>
      <c r="P253" s="530"/>
      <c r="Q253" s="540"/>
      <c r="R253" s="558"/>
      <c r="S253" s="573"/>
      <c r="T253" s="530"/>
      <c r="U253" s="655"/>
      <c r="V253" s="655"/>
      <c r="W253" s="655"/>
      <c r="X253" s="16"/>
      <c r="Y253" s="16"/>
      <c r="Z253" s="16"/>
      <c r="AA253" s="16"/>
      <c r="AB253" s="16"/>
      <c r="AC253" s="16"/>
    </row>
    <row r="254" spans="1:29" ht="30" customHeight="1">
      <c r="A254" s="121"/>
      <c r="B254" s="82"/>
      <c r="C254" s="65" t="str">
        <f>"Category A   " &amp; IFERROR(VLOOKUP(E249,AH:AI,2,FALSE),"")</f>
        <v xml:space="preserve">Category A   </v>
      </c>
      <c r="D254" s="92"/>
      <c r="E254" s="501"/>
      <c r="F254" s="501"/>
      <c r="G254" s="501"/>
      <c r="H254" s="501"/>
      <c r="I254" s="506"/>
      <c r="J254" s="506"/>
      <c r="K254" s="506"/>
      <c r="L254" s="506"/>
      <c r="M254" s="540"/>
      <c r="N254" s="558"/>
      <c r="O254" s="573"/>
      <c r="P254" s="530"/>
      <c r="Q254" s="540"/>
      <c r="R254" s="558"/>
      <c r="S254" s="573"/>
      <c r="T254" s="530"/>
      <c r="U254" s="655"/>
      <c r="V254" s="655"/>
      <c r="W254" s="655"/>
      <c r="X254" s="16"/>
      <c r="Y254" s="16"/>
      <c r="Z254" s="16"/>
      <c r="AA254" s="16"/>
      <c r="AB254" s="16"/>
      <c r="AC254" s="16"/>
    </row>
    <row r="255" spans="1:29" ht="30" customHeight="1">
      <c r="A255" s="121"/>
      <c r="B255" s="82"/>
      <c r="C255" s="65" t="str">
        <f>"Category B   " &amp; IFERROR(VLOOKUP(F249,AH:AI,2,FALSE),"")</f>
        <v xml:space="preserve">Category B   </v>
      </c>
      <c r="D255" s="92"/>
      <c r="E255" s="501"/>
      <c r="F255" s="501"/>
      <c r="G255" s="501"/>
      <c r="H255" s="501"/>
      <c r="I255" s="506"/>
      <c r="J255" s="506"/>
      <c r="K255" s="506"/>
      <c r="L255" s="506"/>
      <c r="M255" s="540"/>
      <c r="N255" s="558"/>
      <c r="O255" s="573"/>
      <c r="P255" s="530"/>
      <c r="Q255" s="540"/>
      <c r="R255" s="558"/>
      <c r="S255" s="573"/>
      <c r="T255" s="530"/>
      <c r="U255" s="655"/>
      <c r="V255" s="655"/>
      <c r="W255" s="655"/>
      <c r="X255" s="16"/>
      <c r="Y255" s="16"/>
      <c r="Z255" s="16"/>
      <c r="AA255" s="16"/>
      <c r="AB255" s="16"/>
      <c r="AC255" s="16"/>
    </row>
    <row r="256" spans="1:29" ht="30" customHeight="1">
      <c r="A256" s="121"/>
      <c r="B256" s="82"/>
      <c r="C256" s="65" t="str">
        <f>"Category C   " &amp; IFERROR(VLOOKUP(G249,AH:AI,2,FALSE),"")</f>
        <v xml:space="preserve">Category C   </v>
      </c>
      <c r="D256" s="92"/>
      <c r="E256" s="501"/>
      <c r="F256" s="501"/>
      <c r="G256" s="501"/>
      <c r="H256" s="501"/>
      <c r="I256" s="506"/>
      <c r="J256" s="506"/>
      <c r="K256" s="506"/>
      <c r="L256" s="506"/>
      <c r="M256" s="540"/>
      <c r="N256" s="558"/>
      <c r="O256" s="573"/>
      <c r="P256" s="530"/>
      <c r="Q256" s="540"/>
      <c r="R256" s="558"/>
      <c r="S256" s="573"/>
      <c r="T256" s="530"/>
      <c r="U256" s="655"/>
      <c r="V256" s="655"/>
      <c r="W256" s="655"/>
      <c r="X256" s="16"/>
      <c r="Y256" s="16"/>
      <c r="Z256" s="16"/>
      <c r="AA256" s="16"/>
      <c r="AB256" s="16"/>
      <c r="AC256" s="16"/>
    </row>
    <row r="257" spans="1:29" ht="30" customHeight="1">
      <c r="A257" s="122"/>
      <c r="B257" s="183"/>
      <c r="C257" s="193" t="str">
        <f>"Category D   " &amp; IFERROR(VLOOKUP(H249,AH:AI,2,FALSE),"")</f>
        <v xml:space="preserve">Category D   </v>
      </c>
      <c r="D257" s="192"/>
      <c r="E257" s="501"/>
      <c r="F257" s="501"/>
      <c r="G257" s="501"/>
      <c r="H257" s="501"/>
      <c r="I257" s="506"/>
      <c r="J257" s="506"/>
      <c r="K257" s="506"/>
      <c r="L257" s="506"/>
      <c r="M257" s="540"/>
      <c r="N257" s="558"/>
      <c r="O257" s="573"/>
      <c r="P257" s="530"/>
      <c r="Q257" s="540"/>
      <c r="R257" s="558"/>
      <c r="S257" s="573"/>
      <c r="T257" s="530"/>
      <c r="U257" s="655"/>
      <c r="V257" s="655"/>
      <c r="W257" s="655"/>
      <c r="X257" s="16"/>
      <c r="Y257" s="16"/>
      <c r="Z257" s="16"/>
      <c r="AA257" s="16"/>
      <c r="AB257" s="16"/>
      <c r="AC257" s="16"/>
    </row>
    <row r="258" spans="1:29" ht="22.5" customHeight="1">
      <c r="A258" s="120" t="s">
        <v>331</v>
      </c>
      <c r="B258" s="139"/>
      <c r="C258" s="161" t="s">
        <v>594</v>
      </c>
      <c r="D258" s="351"/>
      <c r="E258" s="501" t="str">
        <f>IF(Q258&lt;&gt;"",Q258,"")</f>
        <v/>
      </c>
      <c r="F258" s="501" t="str">
        <f>IF(R258&lt;&gt;"",R258,"")</f>
        <v/>
      </c>
      <c r="G258" s="501" t="str">
        <f>IF(S258&lt;&gt;"",S258,"")</f>
        <v/>
      </c>
      <c r="H258" s="501" t="str">
        <f>IF(T258&lt;&gt;"",T258,"")</f>
        <v/>
      </c>
      <c r="I258" s="506" t="str">
        <f>IF(Q258="NA","NA",IF(AND(Q258&lt;&gt;"",OR(Q258="NS",Q258&gt;=0)),1,"-"))</f>
        <v>-</v>
      </c>
      <c r="J258" s="506" t="str">
        <f>IF(R258="NA","NA",IF(AND(R258&lt;&gt;"",OR(R258="NS",R258&gt;=0)),1,"-"))</f>
        <v>-</v>
      </c>
      <c r="K258" s="506" t="str">
        <f>IF(S258="NA","NA",IF(AND(S258&lt;&gt;"",OR(S258="NS",S258&gt;=0)),1,"-"))</f>
        <v>-</v>
      </c>
      <c r="L258" s="506" t="str">
        <f>IF(T258="NA","NA",IF(AND(T258&lt;&gt;"",OR(T258="NS",T258&gt;=0)),1,"-"))</f>
        <v>-</v>
      </c>
      <c r="M258" s="540"/>
      <c r="N258" s="558"/>
      <c r="O258" s="573"/>
      <c r="P258" s="530"/>
      <c r="Q258" s="540"/>
      <c r="R258" s="558"/>
      <c r="S258" s="573"/>
      <c r="T258" s="530"/>
      <c r="U258" s="655"/>
      <c r="V258" s="655" t="e">
        <f>IF(COUNTIF(Q258:T265,"NA")/COUNTA(Q258:T265)=1,"NA","")</f>
        <v>#DIV/0!</v>
      </c>
      <c r="W258" s="655" t="str">
        <f>IF(COUNTIF(Q258:T265,0)&gt;0,0,"")</f>
        <v/>
      </c>
      <c r="X258" s="16"/>
      <c r="Y258" s="16"/>
      <c r="Z258" s="16"/>
      <c r="AA258" s="16"/>
      <c r="AB258" s="16"/>
      <c r="AC258" s="16"/>
    </row>
    <row r="259" spans="1:29" ht="25.5">
      <c r="A259" s="379" t="s">
        <v>182</v>
      </c>
      <c r="B259" s="82"/>
      <c r="C259" s="60" t="s">
        <v>568</v>
      </c>
      <c r="D259" s="92"/>
      <c r="E259" s="501"/>
      <c r="F259" s="501"/>
      <c r="G259" s="501"/>
      <c r="H259" s="501"/>
      <c r="I259" s="506"/>
      <c r="J259" s="506"/>
      <c r="K259" s="506"/>
      <c r="L259" s="506"/>
      <c r="M259" s="540"/>
      <c r="N259" s="558"/>
      <c r="O259" s="573"/>
      <c r="P259" s="530"/>
      <c r="Q259" s="540"/>
      <c r="R259" s="558"/>
      <c r="S259" s="573"/>
      <c r="T259" s="530"/>
      <c r="U259" s="655"/>
      <c r="V259" s="655"/>
      <c r="W259" s="655"/>
      <c r="X259" s="16"/>
      <c r="Y259" s="16"/>
      <c r="Z259" s="16"/>
      <c r="AA259" s="16"/>
      <c r="AB259" s="16"/>
      <c r="AC259" s="16"/>
    </row>
    <row r="260" spans="1:29">
      <c r="A260" s="121"/>
      <c r="B260" s="82"/>
      <c r="C260" s="60"/>
      <c r="D260" s="92"/>
      <c r="E260" s="501"/>
      <c r="F260" s="501"/>
      <c r="G260" s="501"/>
      <c r="H260" s="501"/>
      <c r="I260" s="506"/>
      <c r="J260" s="506"/>
      <c r="K260" s="506"/>
      <c r="L260" s="506"/>
      <c r="M260" s="540"/>
      <c r="N260" s="558"/>
      <c r="O260" s="573"/>
      <c r="P260" s="530"/>
      <c r="Q260" s="540"/>
      <c r="R260" s="558"/>
      <c r="S260" s="573"/>
      <c r="T260" s="530"/>
      <c r="U260" s="655"/>
      <c r="V260" s="655"/>
      <c r="W260" s="655"/>
      <c r="X260" s="16"/>
      <c r="Y260" s="16"/>
      <c r="Z260" s="16"/>
      <c r="AA260" s="16"/>
      <c r="AB260" s="16"/>
      <c r="AC260" s="16"/>
    </row>
    <row r="261" spans="1:29">
      <c r="A261" s="121"/>
      <c r="B261" s="82"/>
      <c r="C261" s="224" t="s">
        <v>430</v>
      </c>
      <c r="D261" s="92"/>
      <c r="E261" s="501"/>
      <c r="F261" s="501"/>
      <c r="G261" s="501"/>
      <c r="H261" s="501"/>
      <c r="I261" s="506"/>
      <c r="J261" s="506"/>
      <c r="K261" s="506"/>
      <c r="L261" s="506"/>
      <c r="M261" s="540"/>
      <c r="N261" s="558"/>
      <c r="O261" s="573"/>
      <c r="P261" s="530"/>
      <c r="Q261" s="540"/>
      <c r="R261" s="558"/>
      <c r="S261" s="573"/>
      <c r="T261" s="530"/>
      <c r="U261" s="655"/>
      <c r="V261" s="655"/>
      <c r="W261" s="655"/>
      <c r="X261" s="16"/>
      <c r="Y261" s="16"/>
      <c r="Z261" s="16"/>
      <c r="AA261" s="16"/>
      <c r="AB261" s="16"/>
      <c r="AC261" s="16"/>
    </row>
    <row r="262" spans="1:29" ht="30" customHeight="1">
      <c r="A262" s="121"/>
      <c r="B262" s="82"/>
      <c r="C262" s="65" t="str">
        <f>"Category A   " &amp; IFERROR(VLOOKUP(E258,AH:AI,2,FALSE),"")</f>
        <v xml:space="preserve">Category A   </v>
      </c>
      <c r="D262" s="92"/>
      <c r="E262" s="501"/>
      <c r="F262" s="501"/>
      <c r="G262" s="501"/>
      <c r="H262" s="501"/>
      <c r="I262" s="506"/>
      <c r="J262" s="506"/>
      <c r="K262" s="506"/>
      <c r="L262" s="506"/>
      <c r="M262" s="540"/>
      <c r="N262" s="558"/>
      <c r="O262" s="573"/>
      <c r="P262" s="530"/>
      <c r="Q262" s="540"/>
      <c r="R262" s="558"/>
      <c r="S262" s="573"/>
      <c r="T262" s="530"/>
      <c r="U262" s="655"/>
      <c r="V262" s="655"/>
      <c r="W262" s="655"/>
      <c r="X262" s="16"/>
      <c r="Y262" s="16"/>
      <c r="Z262" s="16"/>
      <c r="AA262" s="16"/>
      <c r="AB262" s="16"/>
      <c r="AC262" s="16"/>
    </row>
    <row r="263" spans="1:29" ht="30" customHeight="1">
      <c r="A263" s="121"/>
      <c r="B263" s="82"/>
      <c r="C263" s="65" t="str">
        <f>"Category B   " &amp; IFERROR(VLOOKUP(F258,AH:AI,2,FALSE),"")</f>
        <v xml:space="preserve">Category B   </v>
      </c>
      <c r="D263" s="92"/>
      <c r="E263" s="501"/>
      <c r="F263" s="501"/>
      <c r="G263" s="501"/>
      <c r="H263" s="501"/>
      <c r="I263" s="506"/>
      <c r="J263" s="506"/>
      <c r="K263" s="506"/>
      <c r="L263" s="506"/>
      <c r="M263" s="540"/>
      <c r="N263" s="558"/>
      <c r="O263" s="573"/>
      <c r="P263" s="530"/>
      <c r="Q263" s="540"/>
      <c r="R263" s="558"/>
      <c r="S263" s="573"/>
      <c r="T263" s="530"/>
      <c r="U263" s="655"/>
      <c r="V263" s="655"/>
      <c r="W263" s="655"/>
      <c r="X263" s="16"/>
      <c r="Y263" s="16"/>
      <c r="Z263" s="16"/>
      <c r="AA263" s="16"/>
      <c r="AB263" s="16"/>
      <c r="AC263" s="16"/>
    </row>
    <row r="264" spans="1:29" ht="30" customHeight="1">
      <c r="A264" s="121"/>
      <c r="B264" s="82"/>
      <c r="C264" s="65" t="str">
        <f>"Category C   " &amp; IFERROR(VLOOKUP(G258,AH:AI,2,FALSE),"")</f>
        <v xml:space="preserve">Category C   </v>
      </c>
      <c r="D264" s="92"/>
      <c r="E264" s="501"/>
      <c r="F264" s="501"/>
      <c r="G264" s="501"/>
      <c r="H264" s="501"/>
      <c r="I264" s="506"/>
      <c r="J264" s="506"/>
      <c r="K264" s="506"/>
      <c r="L264" s="506"/>
      <c r="M264" s="540"/>
      <c r="N264" s="558"/>
      <c r="O264" s="573"/>
      <c r="P264" s="530"/>
      <c r="Q264" s="540"/>
      <c r="R264" s="558"/>
      <c r="S264" s="573"/>
      <c r="T264" s="530"/>
      <c r="U264" s="655"/>
      <c r="V264" s="655"/>
      <c r="W264" s="655"/>
      <c r="X264" s="16"/>
      <c r="Y264" s="16"/>
      <c r="Z264" s="16"/>
      <c r="AA264" s="16"/>
      <c r="AB264" s="16"/>
      <c r="AC264" s="16"/>
    </row>
    <row r="265" spans="1:29" ht="30" customHeight="1">
      <c r="A265" s="122"/>
      <c r="B265" s="183"/>
      <c r="C265" s="193" t="str">
        <f>"Category D   " &amp; IFERROR(VLOOKUP(H258,AH:AI,2,FALSE),"")</f>
        <v xml:space="preserve">Category D   </v>
      </c>
      <c r="D265" s="192"/>
      <c r="E265" s="501"/>
      <c r="F265" s="501"/>
      <c r="G265" s="501"/>
      <c r="H265" s="501"/>
      <c r="I265" s="506"/>
      <c r="J265" s="506"/>
      <c r="K265" s="506"/>
      <c r="L265" s="506"/>
      <c r="M265" s="540"/>
      <c r="N265" s="558"/>
      <c r="O265" s="573"/>
      <c r="P265" s="530"/>
      <c r="Q265" s="540"/>
      <c r="R265" s="558"/>
      <c r="S265" s="573"/>
      <c r="T265" s="530"/>
      <c r="U265" s="656"/>
      <c r="V265" s="656"/>
      <c r="W265" s="656"/>
      <c r="X265" s="16"/>
      <c r="Y265" s="16"/>
      <c r="Z265" s="16"/>
      <c r="AA265" s="16"/>
      <c r="AB265" s="16"/>
      <c r="AC265" s="16"/>
    </row>
    <row r="266" spans="1:29" ht="22.5" customHeight="1">
      <c r="A266" s="630" t="s">
        <v>466</v>
      </c>
      <c r="B266" s="631"/>
      <c r="C266" s="631"/>
      <c r="D266" s="298"/>
      <c r="E266" s="299">
        <f>I266</f>
        <v>0</v>
      </c>
      <c r="F266" s="173">
        <f>J266</f>
        <v>0</v>
      </c>
      <c r="G266" s="173">
        <f>K266</f>
        <v>0</v>
      </c>
      <c r="H266" s="173">
        <f>L266</f>
        <v>0</v>
      </c>
      <c r="I266" s="189">
        <f>SUM(I16:I265)</f>
        <v>0</v>
      </c>
      <c r="J266" s="173">
        <f>SUM(J16:J265)</f>
        <v>0</v>
      </c>
      <c r="K266" s="173">
        <f>SUM(K16:K265)</f>
        <v>0</v>
      </c>
      <c r="L266" s="173">
        <f>SUM(L16:L265)</f>
        <v>0</v>
      </c>
      <c r="M266" s="173"/>
      <c r="N266" s="173"/>
      <c r="O266" s="173"/>
      <c r="P266" s="173"/>
      <c r="Q266" s="173"/>
      <c r="R266" s="173"/>
      <c r="S266" s="173"/>
      <c r="T266" s="173"/>
      <c r="U266" s="652" t="s">
        <v>427</v>
      </c>
      <c r="V266" s="652"/>
      <c r="W266" s="652"/>
      <c r="X266" s="16"/>
      <c r="Y266" s="16"/>
      <c r="Z266" s="16"/>
      <c r="AA266" s="16"/>
      <c r="AB266" s="16"/>
      <c r="AC266" s="16"/>
    </row>
    <row r="267" spans="1:29" ht="22.5" customHeight="1">
      <c r="A267" s="632" t="s">
        <v>465</v>
      </c>
      <c r="B267" s="633"/>
      <c r="C267" s="633"/>
      <c r="D267" s="186"/>
      <c r="E267" s="188">
        <f>Q267</f>
        <v>0</v>
      </c>
      <c r="F267" s="187">
        <f>R267</f>
        <v>0</v>
      </c>
      <c r="G267" s="187">
        <f>S267</f>
        <v>0</v>
      </c>
      <c r="H267" s="187">
        <f>T267</f>
        <v>0</v>
      </c>
      <c r="I267" s="190"/>
      <c r="J267" s="187"/>
      <c r="K267" s="187"/>
      <c r="L267" s="187"/>
      <c r="M267" s="187">
        <f>SUM(M16,M25,M33:M48,M50:M90,M92:M133,M140:M173,M175:M190,M195,M204:M219,M224:M239,M241:M265)</f>
        <v>0</v>
      </c>
      <c r="N267" s="187">
        <f>SUM(N16,N25,N33:N48,N50:N90,N92:N133,N140:N173,N175:N190,N195,N204:N219,N224:N239,N241:N265)</f>
        <v>0</v>
      </c>
      <c r="O267" s="187">
        <f>SUM(O16,O25,O33:O48,O50:O90,O92:O133,O140:O173,O175:O190,O195,O204:O219,O224:O239,O241:O265)</f>
        <v>0</v>
      </c>
      <c r="P267" s="187">
        <f>SUM(P16,P25,P33:P48,P50:P90,P92:P133,P140:P173,P175:P190,P195,P204:P219,P224:P239,P241:P265)</f>
        <v>0</v>
      </c>
      <c r="Q267" s="187">
        <f>SUM(Q16,Q25,Q33:Q48,Q50:Q90,Q92:Q133,Q140:Q173,Q175:Q190,Q195,Q204:Q219,Q224:Q239,Q241:Q265)</f>
        <v>0</v>
      </c>
      <c r="R267" s="187">
        <f>SUM(R16,R25,R33:R48,R50:R90,R92:R133,R140:R173,R175:R190,R195,R204:R219,R224:R239,R241:R265)</f>
        <v>0</v>
      </c>
      <c r="S267" s="187">
        <f>SUM(S16,S25,S33:S48,S50:S90,S92:S133,S140:S173,S175:S190,S195,S204:S219,S224:S239,S241:S265)</f>
        <v>0</v>
      </c>
      <c r="T267" s="187">
        <f>SUM(T16,T25,T33:T48,T50:T90,T92:T133,T140:T173,T175:T190,T195,T204:T219,T224:T239,T241:T265)</f>
        <v>0</v>
      </c>
      <c r="U267" s="653"/>
      <c r="V267" s="653"/>
      <c r="W267" s="653"/>
      <c r="X267" s="16"/>
      <c r="Y267" s="16"/>
      <c r="Z267" s="16"/>
      <c r="AA267" s="16"/>
      <c r="AB267" s="16"/>
      <c r="AC267" s="16"/>
    </row>
    <row r="268" spans="1:29" ht="22.5" customHeight="1">
      <c r="A268" s="61"/>
      <c r="B268" s="61"/>
      <c r="C268" s="81"/>
      <c r="D268" s="63"/>
      <c r="E268" s="87"/>
      <c r="F268" s="87"/>
      <c r="G268" s="87"/>
      <c r="H268" s="87"/>
      <c r="I268" s="87"/>
      <c r="J268" s="87"/>
      <c r="K268" s="87"/>
      <c r="L268" s="87"/>
      <c r="M268" s="87"/>
      <c r="N268" s="87"/>
      <c r="O268" s="87"/>
      <c r="P268" s="87"/>
      <c r="Q268" s="87"/>
      <c r="R268" s="87"/>
      <c r="S268" s="87"/>
      <c r="T268" s="87"/>
      <c r="U268" s="104"/>
      <c r="V268" s="16"/>
      <c r="W268" s="16"/>
      <c r="X268" s="16"/>
      <c r="Y268" s="16"/>
      <c r="Z268" s="16"/>
      <c r="AA268" s="16"/>
      <c r="AB268" s="16"/>
      <c r="AC268" s="16"/>
    </row>
    <row r="269" spans="1:29" ht="22.5" customHeight="1">
      <c r="A269" s="553"/>
      <c r="B269" s="553"/>
      <c r="C269" s="459"/>
      <c r="D269" s="16"/>
      <c r="E269" s="66"/>
      <c r="F269" s="66"/>
      <c r="G269" s="66"/>
      <c r="H269" s="66"/>
      <c r="I269" s="66"/>
      <c r="J269" s="66"/>
      <c r="K269" s="66"/>
      <c r="L269" s="66"/>
      <c r="M269" s="66"/>
      <c r="N269" s="66"/>
      <c r="O269" s="66"/>
      <c r="P269" s="66"/>
      <c r="Q269" s="66"/>
      <c r="R269" s="66"/>
      <c r="S269" s="66"/>
      <c r="T269" s="66"/>
      <c r="U269" s="103"/>
      <c r="V269" s="16"/>
      <c r="W269" s="16"/>
      <c r="X269" s="16"/>
      <c r="Y269" s="16"/>
      <c r="Z269" s="16"/>
      <c r="AA269" s="16"/>
      <c r="AB269" s="16"/>
      <c r="AC269" s="16"/>
    </row>
    <row r="270" spans="1:29">
      <c r="A270" s="554"/>
      <c r="B270" s="554"/>
      <c r="C270" s="642"/>
      <c r="D270" s="66"/>
      <c r="E270" s="66"/>
      <c r="F270" s="66"/>
      <c r="G270" s="66"/>
      <c r="H270" s="16"/>
      <c r="I270" s="66"/>
      <c r="J270" s="66"/>
      <c r="K270" s="66"/>
      <c r="L270" s="16"/>
      <c r="M270" s="66"/>
      <c r="N270" s="66"/>
      <c r="O270" s="66"/>
      <c r="P270" s="16"/>
      <c r="Q270" s="66"/>
      <c r="R270" s="66"/>
      <c r="S270" s="66"/>
      <c r="T270" s="16"/>
      <c r="U270" s="90"/>
      <c r="V270" s="16"/>
      <c r="W270" s="16"/>
      <c r="X270" s="16"/>
      <c r="Y270" s="16"/>
      <c r="Z270" s="16"/>
      <c r="AA270" s="16"/>
      <c r="AB270" s="16"/>
      <c r="AC270" s="16"/>
    </row>
    <row r="271" spans="1:29">
      <c r="A271" s="554"/>
      <c r="B271" s="554"/>
      <c r="C271" s="642"/>
      <c r="D271" s="63"/>
      <c r="E271" s="66"/>
      <c r="F271" s="66"/>
      <c r="G271" s="66"/>
      <c r="H271" s="66"/>
      <c r="I271" s="66"/>
      <c r="J271" s="66"/>
      <c r="K271" s="66"/>
      <c r="L271" s="66"/>
      <c r="M271" s="66"/>
      <c r="N271" s="66"/>
      <c r="O271" s="66"/>
      <c r="P271" s="66"/>
      <c r="Q271" s="66"/>
      <c r="R271" s="66"/>
      <c r="S271" s="66"/>
      <c r="T271" s="66"/>
      <c r="U271" s="103"/>
      <c r="V271" s="16"/>
      <c r="W271" s="16"/>
      <c r="X271" s="16"/>
      <c r="Y271" s="16"/>
      <c r="Z271" s="16"/>
      <c r="AA271" s="16"/>
      <c r="AB271" s="16"/>
      <c r="AC271" s="16"/>
    </row>
    <row r="272" spans="1:29">
      <c r="A272" s="554"/>
      <c r="B272" s="554"/>
      <c r="C272" s="642"/>
      <c r="D272" s="63"/>
      <c r="E272" s="66"/>
      <c r="F272" s="66"/>
      <c r="G272" s="66"/>
      <c r="H272" s="66"/>
      <c r="I272" s="66"/>
      <c r="J272" s="66"/>
      <c r="K272" s="66"/>
      <c r="L272" s="66"/>
      <c r="M272" s="66"/>
      <c r="N272" s="66"/>
      <c r="O272" s="66"/>
      <c r="P272" s="66"/>
      <c r="Q272" s="66"/>
      <c r="R272" s="66"/>
      <c r="S272" s="66"/>
      <c r="T272" s="66"/>
      <c r="U272" s="103"/>
      <c r="V272" s="16"/>
      <c r="W272" s="16"/>
      <c r="X272" s="16"/>
      <c r="Y272" s="16"/>
      <c r="Z272" s="16"/>
      <c r="AA272" s="16"/>
      <c r="AB272" s="16"/>
      <c r="AC272" s="16"/>
    </row>
    <row r="273" spans="1:29" ht="22.5" customHeight="1">
      <c r="A273" s="637"/>
      <c r="B273" s="637"/>
      <c r="C273" s="459"/>
      <c r="D273" s="106"/>
      <c r="E273" s="66"/>
      <c r="F273" s="66"/>
      <c r="G273" s="66"/>
      <c r="H273" s="66"/>
      <c r="I273" s="66"/>
      <c r="J273" s="66"/>
      <c r="K273" s="66"/>
      <c r="L273" s="66"/>
      <c r="M273" s="66"/>
      <c r="N273" s="66"/>
      <c r="O273" s="66"/>
      <c r="P273" s="66"/>
      <c r="Q273" s="66"/>
      <c r="R273" s="66"/>
      <c r="S273" s="66"/>
      <c r="T273" s="66"/>
      <c r="U273" s="103"/>
      <c r="V273" s="16"/>
      <c r="W273" s="16"/>
      <c r="X273" s="16"/>
      <c r="Y273" s="16"/>
      <c r="Z273" s="16"/>
      <c r="AA273" s="16"/>
      <c r="AB273" s="16"/>
      <c r="AC273" s="16"/>
    </row>
    <row r="274" spans="1:29" ht="22.5" customHeight="1">
      <c r="A274" s="637"/>
      <c r="B274" s="637"/>
      <c r="C274" s="459"/>
      <c r="D274" s="106"/>
      <c r="E274" s="66"/>
      <c r="F274" s="66"/>
      <c r="G274" s="66"/>
      <c r="H274" s="66"/>
      <c r="I274" s="66"/>
      <c r="J274" s="66"/>
      <c r="K274" s="66"/>
      <c r="L274" s="66"/>
      <c r="M274" s="66"/>
      <c r="N274" s="66"/>
      <c r="O274" s="66"/>
      <c r="P274" s="66"/>
      <c r="Q274" s="66"/>
      <c r="R274" s="66"/>
      <c r="S274" s="66"/>
      <c r="T274" s="66"/>
      <c r="U274" s="103"/>
      <c r="V274" s="16"/>
      <c r="W274" s="16"/>
      <c r="X274" s="16"/>
      <c r="Y274" s="16"/>
      <c r="Z274" s="16"/>
      <c r="AA274" s="16"/>
      <c r="AB274" s="16"/>
      <c r="AC274" s="16"/>
    </row>
    <row r="275" spans="1:29" ht="22.5" customHeight="1">
      <c r="A275" s="637"/>
      <c r="B275" s="637"/>
      <c r="C275" s="459"/>
      <c r="D275" s="106"/>
      <c r="E275" s="66"/>
      <c r="F275" s="66"/>
      <c r="G275" s="66"/>
      <c r="H275" s="66"/>
      <c r="I275" s="66"/>
      <c r="J275" s="66"/>
      <c r="K275" s="66"/>
      <c r="L275" s="66"/>
      <c r="M275" s="66"/>
      <c r="N275" s="66"/>
      <c r="O275" s="66"/>
      <c r="P275" s="66"/>
      <c r="Q275" s="66"/>
      <c r="R275" s="66"/>
      <c r="S275" s="66"/>
      <c r="T275" s="66"/>
      <c r="U275" s="103"/>
      <c r="V275" s="16"/>
      <c r="W275" s="16"/>
      <c r="X275" s="16"/>
      <c r="Y275" s="16"/>
      <c r="Z275" s="16"/>
      <c r="AA275" s="16"/>
      <c r="AB275" s="16"/>
      <c r="AC275" s="16"/>
    </row>
    <row r="276" spans="1:29" ht="22.5" customHeight="1">
      <c r="A276" s="637"/>
      <c r="B276" s="637"/>
      <c r="C276" s="459"/>
      <c r="D276" s="106"/>
      <c r="E276" s="66"/>
      <c r="F276" s="66"/>
      <c r="G276" s="66"/>
      <c r="H276" s="66"/>
      <c r="I276" s="66"/>
      <c r="J276" s="66"/>
      <c r="K276" s="66"/>
      <c r="L276" s="66"/>
      <c r="M276" s="66"/>
      <c r="N276" s="66"/>
      <c r="O276" s="66"/>
      <c r="P276" s="66"/>
      <c r="Q276" s="66"/>
      <c r="R276" s="66"/>
      <c r="S276" s="66"/>
      <c r="T276" s="66"/>
      <c r="U276" s="103"/>
      <c r="V276" s="16"/>
      <c r="W276" s="16"/>
      <c r="X276" s="16"/>
      <c r="Y276" s="16"/>
      <c r="Z276" s="16"/>
      <c r="AA276" s="16"/>
      <c r="AB276" s="16"/>
      <c r="AC276" s="16"/>
    </row>
    <row r="277" spans="1:29" ht="22.5" customHeight="1">
      <c r="A277" s="639"/>
      <c r="B277" s="639"/>
      <c r="C277" s="640"/>
      <c r="D277" s="70"/>
      <c r="E277" s="66"/>
      <c r="F277" s="66"/>
      <c r="G277" s="66"/>
      <c r="H277" s="66"/>
      <c r="I277" s="66"/>
      <c r="J277" s="66"/>
      <c r="K277" s="66"/>
      <c r="L277" s="66"/>
      <c r="M277" s="66"/>
      <c r="N277" s="66"/>
      <c r="O277" s="66"/>
      <c r="P277" s="66"/>
      <c r="Q277" s="66"/>
      <c r="R277" s="66"/>
      <c r="S277" s="66"/>
      <c r="T277" s="66"/>
      <c r="V277" s="16"/>
      <c r="W277" s="16"/>
      <c r="X277" s="16"/>
      <c r="Y277" s="16"/>
      <c r="Z277" s="16"/>
      <c r="AA277" s="16"/>
    </row>
    <row r="278" spans="1:29" ht="22.5" customHeight="1">
      <c r="A278" s="639" t="s">
        <v>369</v>
      </c>
      <c r="B278" s="639"/>
      <c r="C278" s="640"/>
      <c r="D278" s="19"/>
      <c r="E278" s="66"/>
      <c r="F278" s="66"/>
      <c r="G278" s="66"/>
      <c r="H278" s="66"/>
      <c r="I278" s="66"/>
      <c r="J278" s="66"/>
      <c r="K278" s="66"/>
      <c r="L278" s="66"/>
      <c r="M278" s="66"/>
      <c r="N278" s="66"/>
      <c r="O278" s="66"/>
      <c r="P278" s="66"/>
      <c r="Q278" s="66"/>
      <c r="R278" s="66"/>
      <c r="S278" s="66"/>
      <c r="T278" s="66"/>
      <c r="V278" s="16"/>
      <c r="W278" s="16"/>
    </row>
    <row r="279" spans="1:29" ht="22.5" customHeight="1"/>
    <row r="280" spans="1:29" ht="22.5" customHeight="1"/>
    <row r="281" spans="1:29" ht="22.5" customHeight="1"/>
    <row r="282" spans="1:29" ht="22.5" customHeight="1">
      <c r="E282"/>
      <c r="F282"/>
      <c r="G282"/>
      <c r="H282"/>
      <c r="I282"/>
      <c r="J282"/>
      <c r="K282"/>
      <c r="L282"/>
      <c r="M282"/>
      <c r="N282"/>
      <c r="O282"/>
      <c r="P282"/>
      <c r="Q282"/>
      <c r="R282"/>
      <c r="S282"/>
      <c r="T282"/>
      <c r="U282" s="91"/>
    </row>
    <row r="283" spans="1:29" ht="22.5" customHeight="1">
      <c r="E283"/>
      <c r="F283"/>
      <c r="G283"/>
      <c r="H283"/>
      <c r="I283"/>
      <c r="J283"/>
      <c r="K283"/>
      <c r="L283"/>
      <c r="M283"/>
      <c r="N283"/>
      <c r="O283"/>
      <c r="P283"/>
      <c r="Q283"/>
      <c r="R283"/>
      <c r="S283"/>
      <c r="T283"/>
      <c r="U283" s="91"/>
    </row>
    <row r="284" spans="1:29" ht="22.5" customHeight="1">
      <c r="E284"/>
      <c r="F284"/>
      <c r="G284"/>
      <c r="H284"/>
      <c r="I284"/>
      <c r="J284"/>
      <c r="K284"/>
      <c r="L284"/>
      <c r="M284"/>
      <c r="N284"/>
      <c r="O284"/>
      <c r="P284"/>
      <c r="Q284"/>
      <c r="R284"/>
      <c r="S284"/>
      <c r="T284"/>
      <c r="U284" s="91"/>
    </row>
    <row r="285" spans="1:29" ht="13.5" customHeight="1">
      <c r="E285"/>
      <c r="F285"/>
      <c r="G285"/>
      <c r="H285"/>
      <c r="I285"/>
      <c r="J285"/>
      <c r="K285"/>
      <c r="L285"/>
      <c r="M285"/>
      <c r="N285"/>
      <c r="O285"/>
      <c r="P285"/>
      <c r="Q285"/>
      <c r="R285"/>
      <c r="S285"/>
      <c r="T285"/>
      <c r="U285" s="91"/>
    </row>
    <row r="286" spans="1:29">
      <c r="E286"/>
      <c r="F286"/>
      <c r="G286"/>
      <c r="H286"/>
      <c r="I286"/>
      <c r="J286"/>
      <c r="K286"/>
      <c r="L286"/>
      <c r="M286"/>
      <c r="N286"/>
      <c r="O286"/>
      <c r="P286"/>
      <c r="Q286"/>
      <c r="R286"/>
      <c r="S286"/>
      <c r="T286"/>
      <c r="U286" s="91"/>
    </row>
    <row r="287" spans="1:29">
      <c r="E287"/>
      <c r="F287"/>
      <c r="G287"/>
      <c r="H287"/>
      <c r="I287"/>
      <c r="J287"/>
      <c r="K287"/>
      <c r="L287"/>
      <c r="M287"/>
      <c r="N287"/>
      <c r="O287"/>
      <c r="P287"/>
      <c r="Q287"/>
      <c r="R287"/>
      <c r="S287"/>
      <c r="T287"/>
      <c r="U287" s="91"/>
    </row>
    <row r="288" spans="1:29">
      <c r="E288"/>
      <c r="F288"/>
      <c r="G288"/>
      <c r="H288"/>
      <c r="I288"/>
      <c r="J288"/>
      <c r="K288"/>
      <c r="L288"/>
      <c r="M288"/>
      <c r="N288"/>
      <c r="O288"/>
      <c r="P288"/>
      <c r="Q288"/>
      <c r="R288"/>
      <c r="S288"/>
      <c r="T288"/>
      <c r="U288" s="91"/>
    </row>
    <row r="295" spans="34:38">
      <c r="AH295" t="s">
        <v>379</v>
      </c>
      <c r="AI295" t="str">
        <f>"No information was submitted. Credit is not achieved in the "&amp; 'Project Summary'!C9 &amp; "."</f>
        <v>No information was submitted. Credit is not achieved in the Provisional Assessment.</v>
      </c>
      <c r="AK295" s="84" t="s">
        <v>3</v>
      </c>
      <c r="AL295" t="str">
        <f>"The prerequisite is achieved in the " &amp; 'Project Summary'!C9&amp; "."</f>
        <v>The prerequisite is achieved in the Provisional Assessment.</v>
      </c>
    </row>
    <row r="296" spans="34:38">
      <c r="AH296" t="s">
        <v>4</v>
      </c>
      <c r="AI296" t="str">
        <f>"Credit is not applicable in the "&amp; 'Project Summary'!C9 &amp; "."</f>
        <v>Credit is not applicable in the Provisional Assessment.</v>
      </c>
      <c r="AK296" s="84" t="s">
        <v>4</v>
      </c>
      <c r="AL296" t="str">
        <f>"The prerequisite is not applicable in the " &amp; 'Project Summary'!C9&amp; "."</f>
        <v>The prerequisite is not applicable in the Provisional Assessment.</v>
      </c>
    </row>
    <row r="297" spans="34:38">
      <c r="AH297">
        <v>0</v>
      </c>
      <c r="AI297" t="str">
        <f>"Credit is not achieved in the "&amp; 'Project Summary'!C9 &amp; "."</f>
        <v>Credit is not achieved in the Provisional Assessment.</v>
      </c>
      <c r="AK297" s="84">
        <v>0</v>
      </c>
      <c r="AL297" t="str">
        <f>"The prerequisite is not achieved in the " &amp; 'Project Summary'!C9&amp; "."</f>
        <v>The prerequisite is not achieved in the Provisional Assessment.</v>
      </c>
    </row>
    <row r="298" spans="34:38">
      <c r="AH298">
        <v>1</v>
      </c>
      <c r="AI298" t="str">
        <f>"1 credit is achieved in the "&amp; 'Project Summary'!C9 &amp; "."</f>
        <v>1 credit is achieved in the Provisional Assessment.</v>
      </c>
    </row>
    <row r="299" spans="34:38">
      <c r="AH299">
        <v>2</v>
      </c>
      <c r="AI299" t="str">
        <f>"2 credits are achieved in the "&amp; 'Project Summary'!C9 &amp; "."</f>
        <v>2 credits are achieved in the Provisional Assessment.</v>
      </c>
    </row>
    <row r="301" spans="34:38">
      <c r="AH301">
        <v>3</v>
      </c>
      <c r="AI301" t="str">
        <f>"3 credits are achieved in the "&amp; 'Project Summary'!C9 &amp; "."</f>
        <v>3 credits are achieved in the Provisional Assessment.</v>
      </c>
    </row>
    <row r="302" spans="34:38">
      <c r="AH302">
        <v>4</v>
      </c>
      <c r="AI302" t="str">
        <f>"4 credits are achieved in the "&amp; 'Project Summary'!C9 &amp; "."</f>
        <v>4 credits are achieved in the Provisional Assessment.</v>
      </c>
    </row>
    <row r="303" spans="34:38">
      <c r="AH303">
        <v>5</v>
      </c>
      <c r="AI303" t="str">
        <f>"5 credits are achieved in the "&amp; 'Project Summary'!C9 &amp; "."</f>
        <v>5 credits are achieved in the Provisional Assessment.</v>
      </c>
    </row>
    <row r="304" spans="34:38">
      <c r="AH304">
        <v>6</v>
      </c>
      <c r="AI304" t="str">
        <f>"6 credits are achieved in the "&amp; 'Project Summary'!C9 &amp; "."</f>
        <v>6 credits are achieved in the Provisional Assessment.</v>
      </c>
    </row>
    <row r="305" spans="33:35">
      <c r="AH305">
        <v>7</v>
      </c>
      <c r="AI305" t="str">
        <f>"7 credits are achieved in the "&amp; 'Project Summary'!C9 &amp; "."</f>
        <v>7 credits are achieved in the Provisional Assessment.</v>
      </c>
    </row>
    <row r="306" spans="33:35">
      <c r="AH306">
        <v>8</v>
      </c>
      <c r="AI306" t="str">
        <f>"8 credits are achieved in the "&amp; 'Project Summary'!C9 &amp; "."</f>
        <v>8 credits are achieved in the Provisional Assessment.</v>
      </c>
    </row>
    <row r="307" spans="33:35">
      <c r="AH307">
        <v>9</v>
      </c>
      <c r="AI307" t="str">
        <f>"9 credits are achieved in the "&amp; 'Project Summary'!C9 &amp; "."</f>
        <v>9 credits are achieved in the Provisional Assessment.</v>
      </c>
    </row>
    <row r="308" spans="33:35">
      <c r="AH308">
        <v>10</v>
      </c>
      <c r="AI308" t="str">
        <f>"10 credits are achieved in the "&amp; 'Project Summary'!C9 &amp; "."</f>
        <v>10 credits are achieved in the Provisional Assessment.</v>
      </c>
    </row>
    <row r="309" spans="33:35">
      <c r="AH309">
        <v>11</v>
      </c>
      <c r="AI309" t="str">
        <f>"11 credits are achieved in the "&amp; 'Project Summary'!C9 &amp; "."</f>
        <v>11 credits are achieved in the Provisional Assessment.</v>
      </c>
    </row>
    <row r="310" spans="33:35">
      <c r="AH310">
        <v>12</v>
      </c>
      <c r="AI310" t="str">
        <f>"12 credits are achieved in the "&amp; 'Project Summary'!C9 &amp; "."</f>
        <v>12 credits are achieved in the Provisional Assessment.</v>
      </c>
    </row>
    <row r="311" spans="33:35">
      <c r="AH311">
        <v>13</v>
      </c>
      <c r="AI311" t="str">
        <f>"13 credits are achieved in the "&amp; 'Project Summary'!C9 &amp; "."</f>
        <v>13 credits are achieved in the Provisional Assessment.</v>
      </c>
    </row>
    <row r="312" spans="33:35">
      <c r="AH312">
        <v>14</v>
      </c>
      <c r="AI312" t="str">
        <f>"14 credits are achieved in the "&amp; 'Project Summary'!C9 &amp; "."</f>
        <v>14 credits are achieved in the Provisional Assessment.</v>
      </c>
    </row>
    <row r="313" spans="33:35">
      <c r="AH313">
        <v>15</v>
      </c>
      <c r="AI313" t="str">
        <f>"15 credits are achieved in the "&amp; 'Project Summary'!C9 &amp; "."</f>
        <v>15 credits are achieved in the Provisional Assessment.</v>
      </c>
    </row>
    <row r="314" spans="33:35">
      <c r="AH314" t="s">
        <v>383</v>
      </c>
      <c r="AI314" s="18" t="str">
        <f>"1 Bonus credit is achieved in the "&amp; 'Project Summary'!C9 &amp; "."</f>
        <v>1 Bonus credit is achieved in the Provisional Assessment.</v>
      </c>
    </row>
    <row r="318" spans="33:35">
      <c r="AG318" s="83" t="s">
        <v>420</v>
      </c>
    </row>
    <row r="319" spans="33:35">
      <c r="AG319" s="84" t="s">
        <v>3</v>
      </c>
    </row>
    <row r="320" spans="33:35">
      <c r="AG320" s="84" t="s">
        <v>4</v>
      </c>
    </row>
    <row r="321" spans="33:33">
      <c r="AG321" s="84">
        <v>0</v>
      </c>
    </row>
    <row r="322" spans="33:33">
      <c r="AG322" s="84"/>
    </row>
    <row r="323" spans="33:33">
      <c r="AG323" s="84" t="s">
        <v>4</v>
      </c>
    </row>
    <row r="324" spans="33:33">
      <c r="AG324" s="84" t="s">
        <v>379</v>
      </c>
    </row>
    <row r="325" spans="33:33">
      <c r="AG325" s="84">
        <v>1</v>
      </c>
    </row>
    <row r="326" spans="33:33">
      <c r="AG326" s="84">
        <v>0</v>
      </c>
    </row>
    <row r="327" spans="33:33">
      <c r="AG327" s="84"/>
    </row>
    <row r="328" spans="33:33">
      <c r="AG328" s="84" t="s">
        <v>4</v>
      </c>
    </row>
    <row r="329" spans="33:33">
      <c r="AG329" s="84" t="s">
        <v>379</v>
      </c>
    </row>
    <row r="330" spans="33:33">
      <c r="AG330" s="84">
        <v>2</v>
      </c>
    </row>
    <row r="331" spans="33:33">
      <c r="AG331" s="84">
        <v>1</v>
      </c>
    </row>
    <row r="332" spans="33:33">
      <c r="AG332" s="84">
        <v>0</v>
      </c>
    </row>
    <row r="333" spans="33:33">
      <c r="AG333" s="84"/>
    </row>
    <row r="334" spans="33:33">
      <c r="AG334" s="84" t="s">
        <v>4</v>
      </c>
    </row>
    <row r="335" spans="33:33">
      <c r="AG335" s="84">
        <v>1</v>
      </c>
    </row>
    <row r="337" spans="33:33">
      <c r="AG337" s="84" t="s">
        <v>4</v>
      </c>
    </row>
    <row r="338" spans="33:33">
      <c r="AG338" s="84">
        <v>3</v>
      </c>
    </row>
    <row r="340" spans="33:33">
      <c r="AG340" s="84" t="s">
        <v>4</v>
      </c>
    </row>
    <row r="341" spans="33:33">
      <c r="AG341" s="84" t="s">
        <v>379</v>
      </c>
    </row>
    <row r="342" spans="33:33">
      <c r="AG342" s="84">
        <v>3</v>
      </c>
    </row>
    <row r="343" spans="33:33">
      <c r="AG343" s="84">
        <v>2</v>
      </c>
    </row>
    <row r="344" spans="33:33">
      <c r="AG344" s="84">
        <v>1</v>
      </c>
    </row>
    <row r="345" spans="33:33">
      <c r="AG345" s="84">
        <v>0</v>
      </c>
    </row>
  </sheetData>
  <sheetProtection formatRows="0"/>
  <protectedRanges>
    <protectedRange sqref="C13 C19 C28 C36 C44 C54 C62 C70 C78 C86 C95 C103 C112 C120 C129 C137 C144 C152 C161 C169 C178 C186 C193 C198 C207 C215 C222 C227 C235 C244 C253 C261" name="Range1_1"/>
  </protectedRanges>
  <mergeCells count="602">
    <mergeCell ref="M258:M265"/>
    <mergeCell ref="N258:N265"/>
    <mergeCell ref="O258:O265"/>
    <mergeCell ref="P258:P265"/>
    <mergeCell ref="M232:M239"/>
    <mergeCell ref="N232:N239"/>
    <mergeCell ref="O232:O239"/>
    <mergeCell ref="P232:P239"/>
    <mergeCell ref="M241:M248"/>
    <mergeCell ref="N241:N248"/>
    <mergeCell ref="O241:O248"/>
    <mergeCell ref="P241:P248"/>
    <mergeCell ref="M249:M257"/>
    <mergeCell ref="N249:N257"/>
    <mergeCell ref="O249:O257"/>
    <mergeCell ref="P249:P257"/>
    <mergeCell ref="M212:M219"/>
    <mergeCell ref="N212:N219"/>
    <mergeCell ref="O212:O219"/>
    <mergeCell ref="P212:P219"/>
    <mergeCell ref="M220:P223"/>
    <mergeCell ref="M224:M231"/>
    <mergeCell ref="N224:N231"/>
    <mergeCell ref="O224:O231"/>
    <mergeCell ref="P224:P231"/>
    <mergeCell ref="M191:P194"/>
    <mergeCell ref="M195:M202"/>
    <mergeCell ref="N195:N202"/>
    <mergeCell ref="O195:O202"/>
    <mergeCell ref="P195:P202"/>
    <mergeCell ref="M204:M211"/>
    <mergeCell ref="N204:N211"/>
    <mergeCell ref="O204:O211"/>
    <mergeCell ref="P204:P211"/>
    <mergeCell ref="M166:M173"/>
    <mergeCell ref="N166:N173"/>
    <mergeCell ref="O166:O173"/>
    <mergeCell ref="P166:P173"/>
    <mergeCell ref="M175:M182"/>
    <mergeCell ref="N175:N182"/>
    <mergeCell ref="O175:O182"/>
    <mergeCell ref="P175:P182"/>
    <mergeCell ref="M183:M190"/>
    <mergeCell ref="N183:N190"/>
    <mergeCell ref="O183:O190"/>
    <mergeCell ref="P183:P190"/>
    <mergeCell ref="M140:M148"/>
    <mergeCell ref="N140:N148"/>
    <mergeCell ref="O140:O148"/>
    <mergeCell ref="P140:P148"/>
    <mergeCell ref="M149:M156"/>
    <mergeCell ref="N149:N156"/>
    <mergeCell ref="O149:O156"/>
    <mergeCell ref="P149:P156"/>
    <mergeCell ref="M157:M165"/>
    <mergeCell ref="N157:N165"/>
    <mergeCell ref="O157:O165"/>
    <mergeCell ref="P157:P165"/>
    <mergeCell ref="M117:M124"/>
    <mergeCell ref="N117:N124"/>
    <mergeCell ref="O117:O124"/>
    <mergeCell ref="P117:P124"/>
    <mergeCell ref="M125:M133"/>
    <mergeCell ref="N125:N133"/>
    <mergeCell ref="O125:O133"/>
    <mergeCell ref="P125:P133"/>
    <mergeCell ref="M134:P138"/>
    <mergeCell ref="M92:M99"/>
    <mergeCell ref="N92:N99"/>
    <mergeCell ref="O92:O99"/>
    <mergeCell ref="P92:P99"/>
    <mergeCell ref="M100:M107"/>
    <mergeCell ref="N100:N107"/>
    <mergeCell ref="O100:O107"/>
    <mergeCell ref="P100:P107"/>
    <mergeCell ref="M108:M116"/>
    <mergeCell ref="N108:N116"/>
    <mergeCell ref="O108:O116"/>
    <mergeCell ref="P108:P116"/>
    <mergeCell ref="M77:M78"/>
    <mergeCell ref="N77:N78"/>
    <mergeCell ref="O77:O78"/>
    <mergeCell ref="P77:P78"/>
    <mergeCell ref="M79:M82"/>
    <mergeCell ref="N79:N82"/>
    <mergeCell ref="O79:O82"/>
    <mergeCell ref="P79:P82"/>
    <mergeCell ref="M83:M90"/>
    <mergeCell ref="N83:N90"/>
    <mergeCell ref="O83:O90"/>
    <mergeCell ref="P83:P90"/>
    <mergeCell ref="M59:M66"/>
    <mergeCell ref="N59:N66"/>
    <mergeCell ref="O59:O66"/>
    <mergeCell ref="P59:P66"/>
    <mergeCell ref="M67:M74"/>
    <mergeCell ref="N67:N74"/>
    <mergeCell ref="O67:O74"/>
    <mergeCell ref="P67:P74"/>
    <mergeCell ref="M75:M76"/>
    <mergeCell ref="N75:N76"/>
    <mergeCell ref="O75:O76"/>
    <mergeCell ref="P75:P76"/>
    <mergeCell ref="M33:M40"/>
    <mergeCell ref="N33:N40"/>
    <mergeCell ref="O33:O40"/>
    <mergeCell ref="P33:P40"/>
    <mergeCell ref="M41:M48"/>
    <mergeCell ref="N41:N48"/>
    <mergeCell ref="O41:O48"/>
    <mergeCell ref="P41:P48"/>
    <mergeCell ref="M50:M58"/>
    <mergeCell ref="N50:N58"/>
    <mergeCell ref="O50:O58"/>
    <mergeCell ref="P50:P58"/>
    <mergeCell ref="M6:P6"/>
    <mergeCell ref="M7:P7"/>
    <mergeCell ref="M10:P14"/>
    <mergeCell ref="M16:M23"/>
    <mergeCell ref="N16:N23"/>
    <mergeCell ref="O16:O23"/>
    <mergeCell ref="P16:P23"/>
    <mergeCell ref="M25:M32"/>
    <mergeCell ref="N25:N32"/>
    <mergeCell ref="O25:O32"/>
    <mergeCell ref="P25:P32"/>
    <mergeCell ref="W175:W182"/>
    <mergeCell ref="Q75:Q76"/>
    <mergeCell ref="R75:R76"/>
    <mergeCell ref="S75:S76"/>
    <mergeCell ref="T75:T76"/>
    <mergeCell ref="V149:V156"/>
    <mergeCell ref="V157:V165"/>
    <mergeCell ref="V166:V173"/>
    <mergeCell ref="V175:V182"/>
    <mergeCell ref="T108:T116"/>
    <mergeCell ref="Q83:Q90"/>
    <mergeCell ref="R83:R90"/>
    <mergeCell ref="S83:S90"/>
    <mergeCell ref="T83:T90"/>
    <mergeCell ref="Q92:Q99"/>
    <mergeCell ref="R92:R99"/>
    <mergeCell ref="S92:S99"/>
    <mergeCell ref="T92:T99"/>
    <mergeCell ref="R125:R133"/>
    <mergeCell ref="S125:S133"/>
    <mergeCell ref="T125:T133"/>
    <mergeCell ref="Q100:Q107"/>
    <mergeCell ref="R100:R107"/>
    <mergeCell ref="Q149:Q156"/>
    <mergeCell ref="W266:W267"/>
    <mergeCell ref="W195:W202"/>
    <mergeCell ref="W204:W211"/>
    <mergeCell ref="W212:W219"/>
    <mergeCell ref="W220:W223"/>
    <mergeCell ref="W224:W231"/>
    <mergeCell ref="W232:W239"/>
    <mergeCell ref="W241:W248"/>
    <mergeCell ref="W249:W257"/>
    <mergeCell ref="W50:W58"/>
    <mergeCell ref="W59:W66"/>
    <mergeCell ref="W67:W74"/>
    <mergeCell ref="W75:W82"/>
    <mergeCell ref="W83:W90"/>
    <mergeCell ref="W92:W99"/>
    <mergeCell ref="V241:V248"/>
    <mergeCell ref="V249:V257"/>
    <mergeCell ref="V258:V265"/>
    <mergeCell ref="V75:V82"/>
    <mergeCell ref="V83:V90"/>
    <mergeCell ref="V92:V99"/>
    <mergeCell ref="W183:W190"/>
    <mergeCell ref="W191:W194"/>
    <mergeCell ref="W100:W107"/>
    <mergeCell ref="W108:W116"/>
    <mergeCell ref="W117:W124"/>
    <mergeCell ref="W125:W133"/>
    <mergeCell ref="W134:W138"/>
    <mergeCell ref="W140:W148"/>
    <mergeCell ref="W149:W156"/>
    <mergeCell ref="W157:W165"/>
    <mergeCell ref="W258:W265"/>
    <mergeCell ref="W166:W173"/>
    <mergeCell ref="V266:V267"/>
    <mergeCell ref="W6:W8"/>
    <mergeCell ref="W10:W14"/>
    <mergeCell ref="W16:W23"/>
    <mergeCell ref="W25:W32"/>
    <mergeCell ref="W33:W40"/>
    <mergeCell ref="W41:W48"/>
    <mergeCell ref="V195:V202"/>
    <mergeCell ref="V204:V211"/>
    <mergeCell ref="V212:V219"/>
    <mergeCell ref="V220:V223"/>
    <mergeCell ref="V224:V231"/>
    <mergeCell ref="V232:V239"/>
    <mergeCell ref="V183:V190"/>
    <mergeCell ref="V191:V194"/>
    <mergeCell ref="V100:V107"/>
    <mergeCell ref="V108:V116"/>
    <mergeCell ref="V117:V124"/>
    <mergeCell ref="V125:V133"/>
    <mergeCell ref="V134:V138"/>
    <mergeCell ref="V140:V148"/>
    <mergeCell ref="V50:V58"/>
    <mergeCell ref="V59:V66"/>
    <mergeCell ref="V67:V74"/>
    <mergeCell ref="V6:V8"/>
    <mergeCell ref="V10:V14"/>
    <mergeCell ref="V16:V23"/>
    <mergeCell ref="V25:V32"/>
    <mergeCell ref="V33:V40"/>
    <mergeCell ref="V41:V48"/>
    <mergeCell ref="F258:F265"/>
    <mergeCell ref="E249:E257"/>
    <mergeCell ref="L75:L82"/>
    <mergeCell ref="E92:E99"/>
    <mergeCell ref="F92:F99"/>
    <mergeCell ref="H249:H257"/>
    <mergeCell ref="G92:G99"/>
    <mergeCell ref="H92:H99"/>
    <mergeCell ref="H108:H116"/>
    <mergeCell ref="E108:E116"/>
    <mergeCell ref="G241:G248"/>
    <mergeCell ref="H241:H248"/>
    <mergeCell ref="G249:G257"/>
    <mergeCell ref="F100:F107"/>
    <mergeCell ref="E241:E248"/>
    <mergeCell ref="E224:E231"/>
    <mergeCell ref="F108:F116"/>
    <mergeCell ref="G108:G116"/>
    <mergeCell ref="H117:H124"/>
    <mergeCell ref="E100:E107"/>
    <mergeCell ref="U266:U267"/>
    <mergeCell ref="U125:U138"/>
    <mergeCell ref="U140:U156"/>
    <mergeCell ref="U157:U173"/>
    <mergeCell ref="U175:U182"/>
    <mergeCell ref="U249:U265"/>
    <mergeCell ref="U183:U194"/>
    <mergeCell ref="U195:U202"/>
    <mergeCell ref="U204:U211"/>
    <mergeCell ref="U212:U219"/>
    <mergeCell ref="U224:U231"/>
    <mergeCell ref="U232:U239"/>
    <mergeCell ref="U241:U248"/>
    <mergeCell ref="U220:U223"/>
    <mergeCell ref="F241:F248"/>
    <mergeCell ref="H204:H211"/>
    <mergeCell ref="E220:H223"/>
    <mergeCell ref="E212:E219"/>
    <mergeCell ref="F212:F219"/>
    <mergeCell ref="G212:G219"/>
    <mergeCell ref="F249:F257"/>
    <mergeCell ref="H100:H107"/>
    <mergeCell ref="U10:U14"/>
    <mergeCell ref="U67:U74"/>
    <mergeCell ref="U50:U66"/>
    <mergeCell ref="U108:U124"/>
    <mergeCell ref="U16:U23"/>
    <mergeCell ref="U25:U32"/>
    <mergeCell ref="U33:U40"/>
    <mergeCell ref="U41:U48"/>
    <mergeCell ref="U83:U90"/>
    <mergeCell ref="U92:U99"/>
    <mergeCell ref="U100:U107"/>
    <mergeCell ref="U75:U82"/>
    <mergeCell ref="A270:C272"/>
    <mergeCell ref="E258:E265"/>
    <mergeCell ref="E240:H240"/>
    <mergeCell ref="E203:H203"/>
    <mergeCell ref="F117:F124"/>
    <mergeCell ref="G117:G124"/>
    <mergeCell ref="G125:G133"/>
    <mergeCell ref="E83:E90"/>
    <mergeCell ref="A277:C277"/>
    <mergeCell ref="H125:H133"/>
    <mergeCell ref="E125:E133"/>
    <mergeCell ref="F125:F133"/>
    <mergeCell ref="G100:G107"/>
    <mergeCell ref="E134:H138"/>
    <mergeCell ref="E139:H139"/>
    <mergeCell ref="E140:E148"/>
    <mergeCell ref="F140:F148"/>
    <mergeCell ref="G140:G148"/>
    <mergeCell ref="H140:H148"/>
    <mergeCell ref="G149:G156"/>
    <mergeCell ref="H149:H156"/>
    <mergeCell ref="E157:E165"/>
    <mergeCell ref="F157:F165"/>
    <mergeCell ref="G157:G165"/>
    <mergeCell ref="A278:C278"/>
    <mergeCell ref="A269:C269"/>
    <mergeCell ref="E6:H6"/>
    <mergeCell ref="E7:H7"/>
    <mergeCell ref="A6:D8"/>
    <mergeCell ref="E9:H9"/>
    <mergeCell ref="E10:H14"/>
    <mergeCell ref="E117:E124"/>
    <mergeCell ref="A275:C275"/>
    <mergeCell ref="F83:F90"/>
    <mergeCell ref="G83:G90"/>
    <mergeCell ref="H83:H90"/>
    <mergeCell ref="E49:H49"/>
    <mergeCell ref="E15:H15"/>
    <mergeCell ref="E16:E23"/>
    <mergeCell ref="F16:F23"/>
    <mergeCell ref="G16:G23"/>
    <mergeCell ref="H16:H23"/>
    <mergeCell ref="E25:E32"/>
    <mergeCell ref="F25:F32"/>
    <mergeCell ref="G25:G32"/>
    <mergeCell ref="H25:H32"/>
    <mergeCell ref="E33:E40"/>
    <mergeCell ref="F33:F40"/>
    <mergeCell ref="G33:G40"/>
    <mergeCell ref="H33:H40"/>
    <mergeCell ref="G41:G48"/>
    <mergeCell ref="H41:H48"/>
    <mergeCell ref="E41:E48"/>
    <mergeCell ref="F41:F48"/>
    <mergeCell ref="E50:E58"/>
    <mergeCell ref="F50:F58"/>
    <mergeCell ref="G50:G58"/>
    <mergeCell ref="H50:H58"/>
    <mergeCell ref="E59:E66"/>
    <mergeCell ref="F59:F66"/>
    <mergeCell ref="G59:G66"/>
    <mergeCell ref="H59:H66"/>
    <mergeCell ref="G67:G74"/>
    <mergeCell ref="H67:H74"/>
    <mergeCell ref="E75:E82"/>
    <mergeCell ref="F75:F82"/>
    <mergeCell ref="G75:G82"/>
    <mergeCell ref="H75:H82"/>
    <mergeCell ref="E67:E74"/>
    <mergeCell ref="F67:F74"/>
    <mergeCell ref="H157:H165"/>
    <mergeCell ref="E149:E156"/>
    <mergeCell ref="F149:F156"/>
    <mergeCell ref="G166:G173"/>
    <mergeCell ref="H166:H173"/>
    <mergeCell ref="E174:H174"/>
    <mergeCell ref="E175:E182"/>
    <mergeCell ref="F175:F182"/>
    <mergeCell ref="G175:G182"/>
    <mergeCell ref="H175:H182"/>
    <mergeCell ref="E166:E173"/>
    <mergeCell ref="F166:F173"/>
    <mergeCell ref="H224:H231"/>
    <mergeCell ref="E232:E239"/>
    <mergeCell ref="F232:F239"/>
    <mergeCell ref="G232:G239"/>
    <mergeCell ref="H232:H239"/>
    <mergeCell ref="F224:F231"/>
    <mergeCell ref="E191:H194"/>
    <mergeCell ref="E183:E190"/>
    <mergeCell ref="F183:F190"/>
    <mergeCell ref="H183:H190"/>
    <mergeCell ref="E195:E202"/>
    <mergeCell ref="F195:F202"/>
    <mergeCell ref="G195:G202"/>
    <mergeCell ref="H195:H202"/>
    <mergeCell ref="G183:G190"/>
    <mergeCell ref="A276:C276"/>
    <mergeCell ref="G258:G265"/>
    <mergeCell ref="H258:H265"/>
    <mergeCell ref="A273:C273"/>
    <mergeCell ref="A274:C274"/>
    <mergeCell ref="I6:L6"/>
    <mergeCell ref="I7:L7"/>
    <mergeCell ref="I10:L14"/>
    <mergeCell ref="I16:I23"/>
    <mergeCell ref="J16:J23"/>
    <mergeCell ref="K16:K23"/>
    <mergeCell ref="L16:L23"/>
    <mergeCell ref="I9:U9"/>
    <mergeCell ref="R16:R23"/>
    <mergeCell ref="U6:U8"/>
    <mergeCell ref="I25:I32"/>
    <mergeCell ref="J25:J32"/>
    <mergeCell ref="K25:K32"/>
    <mergeCell ref="L25:L32"/>
    <mergeCell ref="I33:I40"/>
    <mergeCell ref="J33:J40"/>
    <mergeCell ref="K33:K40"/>
    <mergeCell ref="L33:L40"/>
    <mergeCell ref="I41:I48"/>
    <mergeCell ref="J41:J48"/>
    <mergeCell ref="K41:K48"/>
    <mergeCell ref="L41:L48"/>
    <mergeCell ref="I50:I58"/>
    <mergeCell ref="J50:J58"/>
    <mergeCell ref="K50:K58"/>
    <mergeCell ref="L50:L58"/>
    <mergeCell ref="I59:I66"/>
    <mergeCell ref="J59:J66"/>
    <mergeCell ref="K59:K66"/>
    <mergeCell ref="L59:L66"/>
    <mergeCell ref="I92:I99"/>
    <mergeCell ref="J92:J99"/>
    <mergeCell ref="K92:K99"/>
    <mergeCell ref="L92:L99"/>
    <mergeCell ref="I100:I107"/>
    <mergeCell ref="J100:J107"/>
    <mergeCell ref="K100:K107"/>
    <mergeCell ref="I67:I74"/>
    <mergeCell ref="J67:J74"/>
    <mergeCell ref="K67:K74"/>
    <mergeCell ref="L67:L74"/>
    <mergeCell ref="L100:L107"/>
    <mergeCell ref="I83:I90"/>
    <mergeCell ref="J83:J90"/>
    <mergeCell ref="K83:K90"/>
    <mergeCell ref="L83:L90"/>
    <mergeCell ref="I75:I82"/>
    <mergeCell ref="J75:J82"/>
    <mergeCell ref="K75:K82"/>
    <mergeCell ref="I125:I133"/>
    <mergeCell ref="J125:J133"/>
    <mergeCell ref="K125:K133"/>
    <mergeCell ref="L125:L133"/>
    <mergeCell ref="I134:L138"/>
    <mergeCell ref="I108:I116"/>
    <mergeCell ref="J108:J116"/>
    <mergeCell ref="K108:K116"/>
    <mergeCell ref="L108:L116"/>
    <mergeCell ref="I117:I124"/>
    <mergeCell ref="J117:J124"/>
    <mergeCell ref="K117:K124"/>
    <mergeCell ref="L117:L124"/>
    <mergeCell ref="I140:I148"/>
    <mergeCell ref="J140:J148"/>
    <mergeCell ref="K140:K148"/>
    <mergeCell ref="L140:L148"/>
    <mergeCell ref="I149:I156"/>
    <mergeCell ref="J149:J156"/>
    <mergeCell ref="K149:K156"/>
    <mergeCell ref="L149:L156"/>
    <mergeCell ref="I157:I165"/>
    <mergeCell ref="J157:J165"/>
    <mergeCell ref="K157:K165"/>
    <mergeCell ref="L157:L165"/>
    <mergeCell ref="J166:J173"/>
    <mergeCell ref="K166:K173"/>
    <mergeCell ref="L166:L173"/>
    <mergeCell ref="I195:I202"/>
    <mergeCell ref="J195:J202"/>
    <mergeCell ref="K195:K202"/>
    <mergeCell ref="L195:L202"/>
    <mergeCell ref="I183:I190"/>
    <mergeCell ref="J183:J190"/>
    <mergeCell ref="K183:K190"/>
    <mergeCell ref="L183:L190"/>
    <mergeCell ref="Q6:T6"/>
    <mergeCell ref="Q7:T7"/>
    <mergeCell ref="Q10:T14"/>
    <mergeCell ref="Q16:Q23"/>
    <mergeCell ref="I241:I248"/>
    <mergeCell ref="J241:J248"/>
    <mergeCell ref="K241:K248"/>
    <mergeCell ref="L241:L248"/>
    <mergeCell ref="K232:K239"/>
    <mergeCell ref="L232:L239"/>
    <mergeCell ref="T16:T23"/>
    <mergeCell ref="Q25:Q32"/>
    <mergeCell ref="R25:R32"/>
    <mergeCell ref="S25:S32"/>
    <mergeCell ref="T25:T32"/>
    <mergeCell ref="Q33:Q40"/>
    <mergeCell ref="R33:R40"/>
    <mergeCell ref="S33:S40"/>
    <mergeCell ref="T33:T40"/>
    <mergeCell ref="S16:S23"/>
    <mergeCell ref="Q41:Q48"/>
    <mergeCell ref="R41:R48"/>
    <mergeCell ref="S41:S48"/>
    <mergeCell ref="T41:T48"/>
    <mergeCell ref="Q50:Q58"/>
    <mergeCell ref="R50:R58"/>
    <mergeCell ref="S50:S58"/>
    <mergeCell ref="T50:T58"/>
    <mergeCell ref="Q59:Q66"/>
    <mergeCell ref="R59:R66"/>
    <mergeCell ref="S59:S66"/>
    <mergeCell ref="T59:T66"/>
    <mergeCell ref="Q67:Q74"/>
    <mergeCell ref="R67:R74"/>
    <mergeCell ref="S67:S74"/>
    <mergeCell ref="T67:T74"/>
    <mergeCell ref="R149:R156"/>
    <mergeCell ref="S149:S156"/>
    <mergeCell ref="T149:T156"/>
    <mergeCell ref="Q157:Q165"/>
    <mergeCell ref="R157:R165"/>
    <mergeCell ref="S157:S165"/>
    <mergeCell ref="T157:T165"/>
    <mergeCell ref="S100:S107"/>
    <mergeCell ref="T100:T107"/>
    <mergeCell ref="Q108:Q116"/>
    <mergeCell ref="R108:R116"/>
    <mergeCell ref="S108:S116"/>
    <mergeCell ref="Q134:T138"/>
    <mergeCell ref="Q140:Q148"/>
    <mergeCell ref="R140:R148"/>
    <mergeCell ref="S140:S148"/>
    <mergeCell ref="T140:T148"/>
    <mergeCell ref="Q117:Q124"/>
    <mergeCell ref="R117:R124"/>
    <mergeCell ref="S117:S124"/>
    <mergeCell ref="T117:T124"/>
    <mergeCell ref="Q125:Q133"/>
    <mergeCell ref="S183:S190"/>
    <mergeCell ref="T183:T190"/>
    <mergeCell ref="Q191:T194"/>
    <mergeCell ref="I191:L194"/>
    <mergeCell ref="I220:L223"/>
    <mergeCell ref="Q166:Q173"/>
    <mergeCell ref="R166:R173"/>
    <mergeCell ref="S166:S173"/>
    <mergeCell ref="T166:T173"/>
    <mergeCell ref="Q175:Q182"/>
    <mergeCell ref="Q183:Q190"/>
    <mergeCell ref="R183:R190"/>
    <mergeCell ref="R175:R182"/>
    <mergeCell ref="S175:S182"/>
    <mergeCell ref="T175:T182"/>
    <mergeCell ref="I204:I211"/>
    <mergeCell ref="J204:J211"/>
    <mergeCell ref="K204:K211"/>
    <mergeCell ref="L204:L211"/>
    <mergeCell ref="I212:I219"/>
    <mergeCell ref="J212:J219"/>
    <mergeCell ref="K212:K219"/>
    <mergeCell ref="L212:L219"/>
    <mergeCell ref="I166:I173"/>
    <mergeCell ref="Q195:Q202"/>
    <mergeCell ref="R195:R202"/>
    <mergeCell ref="S195:S202"/>
    <mergeCell ref="T195:T202"/>
    <mergeCell ref="Q204:Q211"/>
    <mergeCell ref="R204:R211"/>
    <mergeCell ref="S204:S211"/>
    <mergeCell ref="T204:T211"/>
    <mergeCell ref="R224:R231"/>
    <mergeCell ref="R241:R248"/>
    <mergeCell ref="S241:S248"/>
    <mergeCell ref="T241:T248"/>
    <mergeCell ref="Q212:Q219"/>
    <mergeCell ref="R212:R219"/>
    <mergeCell ref="S212:S219"/>
    <mergeCell ref="T212:T219"/>
    <mergeCell ref="S224:S231"/>
    <mergeCell ref="T224:T231"/>
    <mergeCell ref="A267:C267"/>
    <mergeCell ref="I175:I182"/>
    <mergeCell ref="J175:J182"/>
    <mergeCell ref="K175:K182"/>
    <mergeCell ref="L175:L182"/>
    <mergeCell ref="I258:I265"/>
    <mergeCell ref="J258:J265"/>
    <mergeCell ref="K258:K265"/>
    <mergeCell ref="L258:L265"/>
    <mergeCell ref="I249:I257"/>
    <mergeCell ref="J249:J257"/>
    <mergeCell ref="K249:K257"/>
    <mergeCell ref="L249:L257"/>
    <mergeCell ref="I224:I231"/>
    <mergeCell ref="J224:J231"/>
    <mergeCell ref="K224:K231"/>
    <mergeCell ref="L224:L231"/>
    <mergeCell ref="I232:I239"/>
    <mergeCell ref="J232:J239"/>
    <mergeCell ref="H212:H219"/>
    <mergeCell ref="E204:E211"/>
    <mergeCell ref="F204:F211"/>
    <mergeCell ref="G204:G211"/>
    <mergeCell ref="G224:G231"/>
    <mergeCell ref="Q77:Q78"/>
    <mergeCell ref="Q79:Q82"/>
    <mergeCell ref="R77:R78"/>
    <mergeCell ref="S77:S78"/>
    <mergeCell ref="T77:T78"/>
    <mergeCell ref="R79:R82"/>
    <mergeCell ref="S79:S82"/>
    <mergeCell ref="T79:T82"/>
    <mergeCell ref="A266:C266"/>
    <mergeCell ref="S258:S265"/>
    <mergeCell ref="T258:T265"/>
    <mergeCell ref="Q241:Q248"/>
    <mergeCell ref="Q220:T223"/>
    <mergeCell ref="Q224:Q231"/>
    <mergeCell ref="Q249:Q257"/>
    <mergeCell ref="R249:R257"/>
    <mergeCell ref="S249:S257"/>
    <mergeCell ref="T249:T257"/>
    <mergeCell ref="Q232:Q239"/>
    <mergeCell ref="Q258:Q265"/>
    <mergeCell ref="R258:R265"/>
    <mergeCell ref="R232:R239"/>
    <mergeCell ref="S232:S239"/>
    <mergeCell ref="T232:T239"/>
  </mergeCells>
  <phoneticPr fontId="31" type="noConversion"/>
  <dataValidations count="3">
    <dataValidation type="list" allowBlank="1" showInputMessage="1" showErrorMessage="1" sqref="M10:T14" xr:uid="{00000000-0002-0000-0600-000000000000}">
      <formula1>$AG$319:$AG$321</formula1>
    </dataValidation>
    <dataValidation type="list" allowBlank="1" showInputMessage="1" showErrorMessage="1" sqref="M241:T265 M83:T90 M79:T79 M75:T77 M16:T23 M140:T173 M92:T138 M204:T239 M50:T66 M25:T48 M183:T202" xr:uid="{00000000-0002-0000-0600-000001000000}">
      <formula1>$AG$323:$AG$326</formula1>
    </dataValidation>
    <dataValidation type="list" allowBlank="1" showInputMessage="1" showErrorMessage="1" sqref="M67:T74 M175:T182" xr:uid="{00000000-0002-0000-0600-000002000000}">
      <formula1>$AG$328:$AG$332</formula1>
    </dataValidation>
  </dataValidations>
  <pageMargins left="0.78776041666666663" right="0.54166666666666663" top="0.52083333333333337" bottom="0.74803149606299213" header="0.31496062992125984" footer="0.31496062992125984"/>
  <pageSetup paperSize="9" fitToHeight="0" orientation="portrait" r:id="rId1"/>
  <headerFooter>
    <oddFooter>&amp;C&amp;7page &amp;P+11&amp;R&amp;6
ALL RIGHTS RESERVED © COPYRIGHT</oddFooter>
  </headerFooter>
  <colBreaks count="1" manualBreakCount="1">
    <brk id="33"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21"/>
  <sheetViews>
    <sheetView view="pageBreakPreview" zoomScale="60" zoomScaleNormal="85" workbookViewId="0">
      <selection activeCell="I1" sqref="I1"/>
    </sheetView>
  </sheetViews>
  <sheetFormatPr defaultRowHeight="12.75"/>
  <cols>
    <col min="1" max="8" width="11.140625" customWidth="1"/>
  </cols>
  <sheetData>
    <row r="1" spans="1:11">
      <c r="A1" s="71"/>
      <c r="B1" s="71"/>
      <c r="C1" s="71"/>
      <c r="D1" s="71"/>
      <c r="E1" s="71"/>
      <c r="F1" s="71"/>
      <c r="G1" s="71"/>
      <c r="H1" s="71"/>
      <c r="I1" s="253" t="s">
        <v>600</v>
      </c>
      <c r="J1" s="16"/>
      <c r="K1" s="16"/>
    </row>
    <row r="2" spans="1:11">
      <c r="A2" s="71"/>
      <c r="B2" s="71"/>
      <c r="C2" s="71"/>
      <c r="D2" s="71"/>
      <c r="E2" s="310"/>
      <c r="F2" s="309"/>
      <c r="G2" s="309"/>
      <c r="H2" s="309" t="str">
        <f>'Project Summary'!C6</f>
        <v>2123-123XX(x)</v>
      </c>
      <c r="I2" s="16"/>
      <c r="J2" s="16"/>
      <c r="K2" s="16"/>
    </row>
    <row r="3" spans="1:11">
      <c r="A3" s="71"/>
      <c r="B3" s="71"/>
      <c r="C3" s="71"/>
      <c r="D3" s="71"/>
      <c r="E3" s="71"/>
      <c r="F3" s="309"/>
      <c r="G3" s="309"/>
      <c r="H3" s="309" t="str">
        <f>"BEAM Plus " &amp; 'Project Summary'!C9 &amp; " Report For"</f>
        <v>BEAM Plus Provisional Assessment Report For</v>
      </c>
      <c r="I3" s="16"/>
      <c r="J3" s="16"/>
      <c r="K3" s="16"/>
    </row>
    <row r="4" spans="1:11">
      <c r="A4" s="71" t="s">
        <v>441</v>
      </c>
      <c r="B4" s="71"/>
      <c r="C4" s="71"/>
      <c r="D4" s="71"/>
      <c r="E4" s="71"/>
      <c r="F4" s="309"/>
      <c r="G4" s="309"/>
      <c r="H4" s="309" t="str">
        <f>'Project Summary'!C7</f>
        <v>ABC Residential Development</v>
      </c>
      <c r="I4" s="16"/>
      <c r="J4" s="16"/>
      <c r="K4" s="16"/>
    </row>
    <row r="5" spans="1:11" ht="12.75" customHeight="1">
      <c r="A5" s="603"/>
      <c r="B5" s="603"/>
      <c r="C5" s="604"/>
      <c r="D5" s="604"/>
      <c r="E5" s="604"/>
      <c r="F5" s="604"/>
      <c r="G5" s="604"/>
      <c r="H5" s="604"/>
      <c r="I5" s="16"/>
      <c r="J5" s="16"/>
      <c r="K5" s="16"/>
    </row>
    <row r="6" spans="1:11" ht="15">
      <c r="A6" s="219" t="s">
        <v>442</v>
      </c>
      <c r="B6" s="219"/>
      <c r="C6" s="16"/>
      <c r="D6" s="16"/>
      <c r="E6" s="16"/>
      <c r="F6" s="16"/>
      <c r="G6" s="16"/>
      <c r="H6" s="16"/>
      <c r="I6" s="16"/>
      <c r="J6" s="16"/>
      <c r="K6" s="16"/>
    </row>
    <row r="7" spans="1:11" ht="15">
      <c r="A7" s="219"/>
      <c r="B7" s="219"/>
      <c r="C7" s="16"/>
      <c r="D7" s="16"/>
      <c r="E7" s="16"/>
      <c r="F7" s="16"/>
      <c r="G7" s="16"/>
      <c r="H7" s="16"/>
      <c r="I7" s="16"/>
      <c r="J7" s="16"/>
      <c r="K7" s="16"/>
    </row>
    <row r="8" spans="1:11">
      <c r="A8" s="605" t="s">
        <v>332</v>
      </c>
      <c r="B8" s="606"/>
      <c r="C8" s="607"/>
      <c r="D8" s="606" t="s">
        <v>372</v>
      </c>
      <c r="E8" s="616" t="s">
        <v>373</v>
      </c>
      <c r="F8" s="619" t="s">
        <v>374</v>
      </c>
      <c r="G8" s="619" t="s">
        <v>375</v>
      </c>
      <c r="H8" s="622" t="s">
        <v>376</v>
      </c>
      <c r="I8" s="16"/>
      <c r="J8" s="16"/>
      <c r="K8" s="16"/>
    </row>
    <row r="9" spans="1:11">
      <c r="A9" s="608"/>
      <c r="B9" s="609"/>
      <c r="C9" s="610"/>
      <c r="D9" s="614"/>
      <c r="E9" s="617"/>
      <c r="F9" s="620"/>
      <c r="G9" s="620"/>
      <c r="H9" s="623"/>
      <c r="I9" s="16"/>
      <c r="J9" s="16"/>
      <c r="K9" s="16"/>
    </row>
    <row r="10" spans="1:11">
      <c r="A10" s="611"/>
      <c r="B10" s="612"/>
      <c r="C10" s="613"/>
      <c r="D10" s="615"/>
      <c r="E10" s="618"/>
      <c r="F10" s="621"/>
      <c r="G10" s="621"/>
      <c r="H10" s="624"/>
      <c r="I10" s="16"/>
      <c r="J10" s="16"/>
      <c r="K10" s="16"/>
    </row>
    <row r="11" spans="1:11" ht="22.5" customHeight="1">
      <c r="A11" s="667" t="s">
        <v>33</v>
      </c>
      <c r="B11" s="667"/>
      <c r="C11" s="668"/>
      <c r="D11" s="317">
        <f>'IEQ Comment'!E266</f>
        <v>0</v>
      </c>
      <c r="E11" s="317">
        <f>'IEQ Comment'!E267</f>
        <v>0</v>
      </c>
      <c r="F11" s="318" t="e">
        <f>'IEQ Comment'!AA2</f>
        <v>#DIV/0!</v>
      </c>
      <c r="G11" s="319" t="e">
        <f>D11*F11</f>
        <v>#DIV/0!</v>
      </c>
      <c r="H11" s="319" t="e">
        <f>E11*F11</f>
        <v>#DIV/0!</v>
      </c>
      <c r="I11" s="16"/>
      <c r="J11" s="16"/>
      <c r="K11" s="16"/>
    </row>
    <row r="12" spans="1:11" ht="22.5" customHeight="1">
      <c r="A12" s="664" t="s">
        <v>34</v>
      </c>
      <c r="B12" s="664"/>
      <c r="C12" s="665"/>
      <c r="D12" s="314">
        <f>'IEQ Comment'!F266</f>
        <v>0</v>
      </c>
      <c r="E12" s="314">
        <f>'IEQ Comment'!F267</f>
        <v>0</v>
      </c>
      <c r="F12" s="315" t="e">
        <f>'IEQ Comment'!AA3</f>
        <v>#DIV/0!</v>
      </c>
      <c r="G12" s="316" t="e">
        <f>D12*F12</f>
        <v>#DIV/0!</v>
      </c>
      <c r="H12" s="316" t="e">
        <f>E12*F12</f>
        <v>#DIV/0!</v>
      </c>
      <c r="I12" s="16"/>
      <c r="J12" s="16"/>
      <c r="K12" s="16"/>
    </row>
    <row r="13" spans="1:11" ht="22.5" customHeight="1">
      <c r="A13" s="664" t="s">
        <v>387</v>
      </c>
      <c r="B13" s="664"/>
      <c r="C13" s="665"/>
      <c r="D13" s="314">
        <f>'IEQ Comment'!G266</f>
        <v>0</v>
      </c>
      <c r="E13" s="314">
        <f>'IEQ Comment'!G267</f>
        <v>0</v>
      </c>
      <c r="F13" s="315" t="e">
        <f>'IEQ Comment'!AA4</f>
        <v>#DIV/0!</v>
      </c>
      <c r="G13" s="316" t="e">
        <f>D13*F13</f>
        <v>#DIV/0!</v>
      </c>
      <c r="H13" s="316" t="e">
        <f>E13*F13</f>
        <v>#DIV/0!</v>
      </c>
      <c r="I13" s="16"/>
      <c r="J13" s="16"/>
      <c r="K13" s="16"/>
    </row>
    <row r="14" spans="1:11" ht="22.5" customHeight="1">
      <c r="A14" s="664" t="s">
        <v>388</v>
      </c>
      <c r="B14" s="664"/>
      <c r="C14" s="665"/>
      <c r="D14" s="314">
        <f>'IEQ Comment'!H266</f>
        <v>0</v>
      </c>
      <c r="E14" s="314">
        <f>'IEQ Comment'!H267</f>
        <v>0</v>
      </c>
      <c r="F14" s="315" t="e">
        <f>'IEQ Comment'!AA5</f>
        <v>#DIV/0!</v>
      </c>
      <c r="G14" s="316" t="e">
        <f>D14*F14</f>
        <v>#DIV/0!</v>
      </c>
      <c r="H14" s="316" t="e">
        <f>E14*F14</f>
        <v>#DIV/0!</v>
      </c>
      <c r="I14" s="16"/>
      <c r="J14" s="16"/>
      <c r="K14" s="16"/>
    </row>
    <row r="15" spans="1:11" ht="22.5" customHeight="1">
      <c r="A15" s="666" t="s">
        <v>378</v>
      </c>
      <c r="B15" s="666"/>
      <c r="C15" s="665"/>
      <c r="D15" s="665"/>
      <c r="E15" s="665"/>
      <c r="F15" s="665"/>
      <c r="G15" s="316" t="e">
        <f>SUM(G11:G14)</f>
        <v>#DIV/0!</v>
      </c>
      <c r="H15" s="316" t="e">
        <f>SUM(H11:H14)</f>
        <v>#DIV/0!</v>
      </c>
      <c r="I15" s="16"/>
      <c r="J15" s="16"/>
      <c r="K15" s="16"/>
    </row>
    <row r="16" spans="1:11">
      <c r="A16" s="16"/>
      <c r="B16" s="16"/>
      <c r="C16" s="16"/>
      <c r="D16" s="16"/>
      <c r="E16" s="16"/>
      <c r="F16" s="16"/>
      <c r="G16" s="16"/>
      <c r="H16" s="16"/>
      <c r="I16" s="16"/>
      <c r="J16" s="16"/>
      <c r="K16" s="16"/>
    </row>
    <row r="17" spans="1:11">
      <c r="A17" s="16"/>
      <c r="B17" s="16"/>
      <c r="C17" s="16"/>
      <c r="D17" s="16"/>
      <c r="E17" s="16"/>
      <c r="F17" s="16"/>
      <c r="G17" s="16"/>
      <c r="H17" s="16"/>
      <c r="I17" s="16"/>
      <c r="J17" s="16"/>
      <c r="K17" s="16"/>
    </row>
    <row r="18" spans="1:11">
      <c r="A18" s="16"/>
      <c r="B18" s="16"/>
      <c r="C18" s="16"/>
      <c r="D18" s="16"/>
      <c r="E18" s="16"/>
      <c r="F18" s="16"/>
      <c r="G18" s="16"/>
      <c r="H18" s="16"/>
      <c r="I18" s="16"/>
      <c r="J18" s="16"/>
      <c r="K18" s="16"/>
    </row>
    <row r="19" spans="1:11">
      <c r="A19" s="16"/>
      <c r="B19" s="16"/>
      <c r="C19" s="16"/>
      <c r="D19" s="16"/>
      <c r="E19" s="16"/>
      <c r="F19" s="16"/>
      <c r="G19" s="16"/>
      <c r="H19" s="16"/>
      <c r="I19" s="16"/>
      <c r="J19" s="16"/>
      <c r="K19" s="16"/>
    </row>
    <row r="20" spans="1:11">
      <c r="A20" s="16"/>
      <c r="B20" s="16"/>
      <c r="C20" s="16"/>
      <c r="D20" s="16"/>
      <c r="E20" s="16"/>
      <c r="F20" s="16"/>
      <c r="G20" s="16"/>
      <c r="H20" s="16"/>
      <c r="I20" s="16"/>
      <c r="J20" s="16"/>
      <c r="K20" s="16"/>
    </row>
    <row r="21" spans="1:11">
      <c r="A21" s="16"/>
      <c r="B21" s="16"/>
      <c r="C21" s="16"/>
      <c r="D21" s="16"/>
      <c r="E21" s="16"/>
      <c r="F21" s="16"/>
      <c r="G21" s="16"/>
      <c r="H21" s="16"/>
      <c r="I21" s="16"/>
      <c r="J21" s="16"/>
      <c r="K21" s="16"/>
    </row>
  </sheetData>
  <sheetProtection formatRows="0"/>
  <mergeCells count="12">
    <mergeCell ref="A13:C13"/>
    <mergeCell ref="A14:C14"/>
    <mergeCell ref="A5:H5"/>
    <mergeCell ref="A15:F15"/>
    <mergeCell ref="A8:C10"/>
    <mergeCell ref="D8:D10"/>
    <mergeCell ref="E8:E10"/>
    <mergeCell ref="F8:F10"/>
    <mergeCell ref="G8:G10"/>
    <mergeCell ref="H8:H10"/>
    <mergeCell ref="A11:C11"/>
    <mergeCell ref="A12:C12"/>
  </mergeCells>
  <phoneticPr fontId="31" type="noConversion"/>
  <pageMargins left="0.78776041666666663" right="0.54166666666666663" top="0.52083333333333337" bottom="0.74803149606299213" header="0.31496062992125984" footer="0.31496062992125984"/>
  <pageSetup paperSize="9" orientation="portrait" r:id="rId1"/>
  <headerFooter>
    <oddFooter>&amp;C&amp;7page &amp;P+11&amp;R&amp;6
ALL RIGHTS RESERVED © COPYRIGHT</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Z416"/>
  <sheetViews>
    <sheetView view="pageBreakPreview" zoomScale="85" zoomScaleNormal="85" zoomScaleSheetLayoutView="85" workbookViewId="0">
      <selection activeCell="J1" sqref="J1"/>
    </sheetView>
  </sheetViews>
  <sheetFormatPr defaultColWidth="9" defaultRowHeight="12.75"/>
  <cols>
    <col min="1" max="1" width="9.28515625" customWidth="1"/>
    <col min="2" max="2" width="1.28515625" customWidth="1"/>
    <col min="3" max="3" width="62.28515625" customWidth="1"/>
    <col min="4" max="4" width="1.28515625" customWidth="1"/>
    <col min="5" max="5" width="12.7109375" customWidth="1"/>
    <col min="6" max="8" width="19.7109375" customWidth="1"/>
    <col min="21" max="21" width="9" customWidth="1"/>
    <col min="22" max="22" width="72.5703125" customWidth="1"/>
    <col min="26" max="26" width="9" hidden="1" customWidth="1"/>
  </cols>
  <sheetData>
    <row r="1" spans="1:26">
      <c r="A1" s="391"/>
      <c r="B1" s="391"/>
      <c r="C1" s="391"/>
      <c r="D1" s="391"/>
      <c r="E1" s="391"/>
      <c r="F1" s="16"/>
      <c r="G1" s="16"/>
      <c r="H1" s="16"/>
      <c r="I1" s="16"/>
      <c r="J1" s="253" t="s">
        <v>600</v>
      </c>
      <c r="Z1">
        <v>30</v>
      </c>
    </row>
    <row r="2" spans="1:26">
      <c r="A2" s="391"/>
      <c r="B2" s="391"/>
      <c r="C2" s="391"/>
      <c r="D2" s="391"/>
      <c r="E2" s="392" t="str">
        <f>'Project Summary'!C6</f>
        <v>2123-123XX(x)</v>
      </c>
      <c r="F2" s="64"/>
      <c r="G2" s="64"/>
      <c r="H2" s="64"/>
      <c r="I2" s="16"/>
      <c r="Z2">
        <v>33</v>
      </c>
    </row>
    <row r="3" spans="1:26">
      <c r="A3" s="391"/>
      <c r="B3" s="391"/>
      <c r="C3" s="391"/>
      <c r="D3" s="391"/>
      <c r="E3" s="392" t="str">
        <f>"BEAM Plus " &amp; 'Project Summary'!C9 &amp; " Report For"</f>
        <v>BEAM Plus Provisional Assessment Report For</v>
      </c>
      <c r="F3" s="64"/>
      <c r="G3" s="64"/>
      <c r="H3" s="64"/>
      <c r="I3" s="16"/>
      <c r="Z3">
        <v>36</v>
      </c>
    </row>
    <row r="4" spans="1:26">
      <c r="A4" s="391" t="s">
        <v>391</v>
      </c>
      <c r="B4" s="391"/>
      <c r="C4" s="391"/>
      <c r="D4" s="391"/>
      <c r="E4" s="392" t="str">
        <f>'Project Summary'!C7</f>
        <v>ABC Residential Development</v>
      </c>
      <c r="F4" s="64"/>
      <c r="G4" s="64"/>
      <c r="H4" s="64"/>
      <c r="I4" s="16"/>
      <c r="Z4">
        <v>39</v>
      </c>
    </row>
    <row r="5" spans="1:26">
      <c r="A5" s="176"/>
      <c r="B5" s="176"/>
      <c r="C5" s="176"/>
      <c r="D5" s="176"/>
      <c r="E5" s="177"/>
      <c r="F5" s="67"/>
      <c r="G5" s="67"/>
      <c r="H5" s="67"/>
      <c r="I5" s="16"/>
      <c r="Z5">
        <v>42</v>
      </c>
    </row>
    <row r="6" spans="1:26" ht="22.5" customHeight="1">
      <c r="A6" s="675" t="s">
        <v>392</v>
      </c>
      <c r="B6" s="676"/>
      <c r="C6" s="676"/>
      <c r="D6" s="72"/>
      <c r="E6" s="196" t="s">
        <v>172</v>
      </c>
      <c r="F6" s="326" t="s">
        <v>56</v>
      </c>
      <c r="G6" s="196" t="s">
        <v>660</v>
      </c>
      <c r="H6" s="196" t="s">
        <v>57</v>
      </c>
      <c r="I6" s="16"/>
      <c r="Z6">
        <v>47</v>
      </c>
    </row>
    <row r="7" spans="1:26" ht="18.75" customHeight="1">
      <c r="A7" s="371" t="s">
        <v>59</v>
      </c>
      <c r="B7" s="213"/>
      <c r="C7" s="139" t="s">
        <v>175</v>
      </c>
      <c r="D7" s="214"/>
      <c r="E7" s="672" t="str">
        <f>H7</f>
        <v>-</v>
      </c>
      <c r="F7" s="672" t="s">
        <v>60</v>
      </c>
      <c r="G7" s="671" t="str">
        <f>IF('SA Comment'!G14="Insert No. of Credit(s) Here","-",'SA Comment'!G14)</f>
        <v>-</v>
      </c>
      <c r="H7" s="671" t="str">
        <f>IF('SA Comment'!H14="Insert No. of Credit(s) Here","-",'SA Comment'!H14)</f>
        <v>-</v>
      </c>
      <c r="I7" s="16"/>
      <c r="Z7">
        <v>50</v>
      </c>
    </row>
    <row r="8" spans="1:26" ht="27.95" customHeight="1">
      <c r="A8" s="208" t="s">
        <v>393</v>
      </c>
      <c r="B8" s="197"/>
      <c r="C8" s="198" t="s">
        <v>394</v>
      </c>
      <c r="D8" s="200"/>
      <c r="E8" s="672"/>
      <c r="F8" s="672"/>
      <c r="G8" s="671"/>
      <c r="H8" s="671"/>
      <c r="I8" s="16"/>
      <c r="Z8">
        <v>53</v>
      </c>
    </row>
    <row r="9" spans="1:26" ht="27.95" customHeight="1">
      <c r="A9" s="371" t="s">
        <v>19</v>
      </c>
      <c r="B9" s="213"/>
      <c r="C9" s="139" t="s">
        <v>395</v>
      </c>
      <c r="D9" s="372"/>
      <c r="E9" s="672" t="str">
        <f>H9</f>
        <v>-</v>
      </c>
      <c r="F9" s="672" t="s">
        <v>60</v>
      </c>
      <c r="G9" s="671" t="str">
        <f>IF('SA Comment'!G52="Insert No. of Credit(s) Here","-",'SA Comment'!G52)</f>
        <v>-</v>
      </c>
      <c r="H9" s="671" t="str">
        <f>IF('SA Comment'!H52="Insert No. of Credit(s) Here","-",'SA Comment'!H52)</f>
        <v>-</v>
      </c>
      <c r="I9" s="16"/>
      <c r="Z9">
        <v>56</v>
      </c>
    </row>
    <row r="10" spans="1:26" ht="27.95" customHeight="1">
      <c r="A10" s="208" t="s">
        <v>393</v>
      </c>
      <c r="B10" s="197"/>
      <c r="C10" s="198" t="s">
        <v>396</v>
      </c>
      <c r="D10" s="199"/>
      <c r="E10" s="672"/>
      <c r="F10" s="672"/>
      <c r="G10" s="671"/>
      <c r="H10" s="671"/>
      <c r="I10" s="16"/>
      <c r="Z10">
        <v>59</v>
      </c>
    </row>
    <row r="11" spans="1:26" ht="24.95" customHeight="1">
      <c r="A11" s="371" t="s">
        <v>20</v>
      </c>
      <c r="B11" s="213"/>
      <c r="C11" s="139" t="s">
        <v>195</v>
      </c>
      <c r="D11" s="373"/>
      <c r="E11" s="672" t="str">
        <f>H11</f>
        <v>-</v>
      </c>
      <c r="F11" s="672" t="s">
        <v>60</v>
      </c>
      <c r="G11" s="671" t="str">
        <f>IF('SA Comment'!G56="Insert No. of Credit(s) Here","-",'SA Comment'!G56)</f>
        <v>-</v>
      </c>
      <c r="H11" s="671" t="str">
        <f>IF('SA Comment'!H56="Insert No. of Credit(s) Here","-",'SA Comment'!H56)</f>
        <v>-</v>
      </c>
      <c r="I11" s="16"/>
      <c r="Z11">
        <v>64</v>
      </c>
    </row>
    <row r="12" spans="1:26" ht="27.95" customHeight="1">
      <c r="A12" s="208" t="s">
        <v>393</v>
      </c>
      <c r="B12" s="197"/>
      <c r="C12" s="198" t="s">
        <v>397</v>
      </c>
      <c r="D12" s="166"/>
      <c r="E12" s="672"/>
      <c r="F12" s="672"/>
      <c r="G12" s="671"/>
      <c r="H12" s="671"/>
      <c r="I12" s="16"/>
    </row>
    <row r="13" spans="1:26" ht="24.95" customHeight="1">
      <c r="A13" s="371" t="s">
        <v>72</v>
      </c>
      <c r="B13" s="213"/>
      <c r="C13" s="139" t="s">
        <v>218</v>
      </c>
      <c r="D13" s="214"/>
      <c r="E13" s="672" t="str">
        <f>H13</f>
        <v>-</v>
      </c>
      <c r="F13" s="672" t="s">
        <v>60</v>
      </c>
      <c r="G13" s="671" t="str">
        <f>IF('MA Comment'!G34="Insert No. of Credit(s) Here","-",'MA Comment'!G34)</f>
        <v>-</v>
      </c>
      <c r="H13" s="671" t="str">
        <f>IF('MA Comment'!H34="Insert No. of Credit(s) Here","-",'MA Comment'!H34)</f>
        <v>-</v>
      </c>
      <c r="I13" s="16"/>
    </row>
    <row r="14" spans="1:26" ht="27.95" customHeight="1">
      <c r="A14" s="208" t="s">
        <v>393</v>
      </c>
      <c r="B14" s="197"/>
      <c r="C14" s="198" t="s">
        <v>398</v>
      </c>
      <c r="D14" s="199"/>
      <c r="E14" s="672"/>
      <c r="F14" s="672"/>
      <c r="G14" s="671"/>
      <c r="H14" s="671"/>
      <c r="I14" s="16"/>
    </row>
    <row r="15" spans="1:26" ht="27.95" customHeight="1">
      <c r="A15" s="371" t="s">
        <v>90</v>
      </c>
      <c r="B15" s="213"/>
      <c r="C15" s="139" t="s">
        <v>399</v>
      </c>
      <c r="D15" s="372"/>
      <c r="E15" s="672" t="str">
        <f>H15</f>
        <v>-</v>
      </c>
      <c r="F15" s="672" t="s">
        <v>60</v>
      </c>
      <c r="G15" s="671">
        <f>IF('EU Comment'!P84="Insert No. of Credit(s) Here","-",'EU Comment'!P84)</f>
        <v>0</v>
      </c>
      <c r="H15" s="671" t="str">
        <f>IF('EU Comment'!Q84="Insert No. of Credit(s) Here","-",'EU Comment'!Q84)</f>
        <v>-</v>
      </c>
      <c r="I15" s="16"/>
    </row>
    <row r="16" spans="1:26" ht="27.95" customHeight="1">
      <c r="A16" s="208" t="s">
        <v>393</v>
      </c>
      <c r="B16" s="197"/>
      <c r="C16" s="198" t="s">
        <v>400</v>
      </c>
      <c r="D16" s="201"/>
      <c r="E16" s="672"/>
      <c r="F16" s="672"/>
      <c r="G16" s="671"/>
      <c r="H16" s="671"/>
      <c r="I16" s="16"/>
    </row>
    <row r="17" spans="1:22" ht="24.95" customHeight="1">
      <c r="A17" s="371" t="s">
        <v>267</v>
      </c>
      <c r="B17" s="213"/>
      <c r="C17" s="139" t="s">
        <v>268</v>
      </c>
      <c r="D17" s="374"/>
      <c r="E17" s="672" t="str">
        <f>H17</f>
        <v>-</v>
      </c>
      <c r="F17" s="672" t="s">
        <v>60</v>
      </c>
      <c r="G17" s="671">
        <f>IF('EU Comment'!P171="Insert No. of Credit(s) Here","-",'EU Comment'!P171)</f>
        <v>0</v>
      </c>
      <c r="H17" s="671" t="str">
        <f>IF('EU Comment'!Q171="Insert No. of Credit(s) Here","-",'EU Comment'!Q171)</f>
        <v>-</v>
      </c>
      <c r="I17" s="16"/>
    </row>
    <row r="18" spans="1:22" ht="27.95" customHeight="1">
      <c r="A18" s="208" t="s">
        <v>393</v>
      </c>
      <c r="B18" s="197"/>
      <c r="C18" s="198" t="s">
        <v>401</v>
      </c>
      <c r="D18" s="200"/>
      <c r="E18" s="672"/>
      <c r="F18" s="672"/>
      <c r="G18" s="671"/>
      <c r="H18" s="671"/>
      <c r="I18" s="16"/>
    </row>
    <row r="19" spans="1:22" ht="24.95" customHeight="1">
      <c r="A19" s="371" t="s">
        <v>289</v>
      </c>
      <c r="B19" s="214"/>
      <c r="C19" s="139" t="s">
        <v>402</v>
      </c>
      <c r="D19" s="214"/>
      <c r="E19" s="672" t="str">
        <f>H19</f>
        <v>-</v>
      </c>
      <c r="F19" s="672" t="s">
        <v>60</v>
      </c>
      <c r="G19" s="671" t="str">
        <f>IF('WU Comment'!G45="Insert No. of Credit(s) Here","-",'WU Comment'!G45)</f>
        <v>-</v>
      </c>
      <c r="H19" s="671" t="str">
        <f>IF('WU Comment'!H45="Insert No. of Credit(s) Here","-",'WU Comment'!H45)</f>
        <v>-</v>
      </c>
      <c r="I19" s="16"/>
    </row>
    <row r="20" spans="1:22" ht="27.95" customHeight="1">
      <c r="A20" s="208" t="s">
        <v>393</v>
      </c>
      <c r="B20" s="202"/>
      <c r="C20" s="198" t="s">
        <v>403</v>
      </c>
      <c r="D20" s="199"/>
      <c r="E20" s="672"/>
      <c r="F20" s="672"/>
      <c r="G20" s="671"/>
      <c r="H20" s="671"/>
      <c r="I20" s="16"/>
    </row>
    <row r="21" spans="1:22" ht="24.95" customHeight="1">
      <c r="A21" s="371" t="s">
        <v>314</v>
      </c>
      <c r="B21" s="343"/>
      <c r="C21" s="139" t="s">
        <v>404</v>
      </c>
      <c r="D21" s="372"/>
      <c r="E21" s="672" t="str">
        <f>H21</f>
        <v>-</v>
      </c>
      <c r="F21" s="672" t="s">
        <v>60</v>
      </c>
      <c r="G21" s="671">
        <f>IF('IEQ Comment'!P134="Insert No. of Credit(s) Here","-",'IEQ Comment'!P134)</f>
        <v>0</v>
      </c>
      <c r="H21" s="671" t="str">
        <f>IF('IEQ Comment'!Q134="Insert No. of Credit(s) Here","-",'IEQ Comment'!Q134)</f>
        <v>-</v>
      </c>
      <c r="I21" s="16"/>
    </row>
    <row r="22" spans="1:22" ht="27.95" customHeight="1">
      <c r="A22" s="208" t="s">
        <v>393</v>
      </c>
      <c r="B22" s="203"/>
      <c r="C22" s="198" t="s">
        <v>405</v>
      </c>
      <c r="D22" s="199"/>
      <c r="E22" s="672"/>
      <c r="F22" s="672"/>
      <c r="G22" s="671"/>
      <c r="H22" s="671"/>
      <c r="I22" s="16"/>
    </row>
    <row r="23" spans="1:22" ht="27.95" customHeight="1">
      <c r="A23" s="371" t="s">
        <v>153</v>
      </c>
      <c r="B23" s="343"/>
      <c r="C23" s="139" t="s">
        <v>406</v>
      </c>
      <c r="D23" s="372"/>
      <c r="E23" s="672" t="str">
        <f>H23</f>
        <v>-</v>
      </c>
      <c r="F23" s="672" t="s">
        <v>60</v>
      </c>
      <c r="G23" s="671">
        <f>IF('IEQ Comment'!P191="Insert No. of Credit(s) Here","-",'IEQ Comment'!P191)</f>
        <v>0</v>
      </c>
      <c r="H23" s="671" t="str">
        <f>IF('IEQ Comment'!Q191="Insert No. of Credit(s) Here","-",'IEQ Comment'!Q191)</f>
        <v>-</v>
      </c>
      <c r="I23" s="16"/>
    </row>
    <row r="24" spans="1:22" ht="27.95" customHeight="1">
      <c r="A24" s="208" t="s">
        <v>393</v>
      </c>
      <c r="B24" s="204"/>
      <c r="C24" s="198" t="s">
        <v>407</v>
      </c>
      <c r="D24" s="201"/>
      <c r="E24" s="672"/>
      <c r="F24" s="672"/>
      <c r="G24" s="671"/>
      <c r="H24" s="671"/>
      <c r="I24" s="16"/>
    </row>
    <row r="25" spans="1:22" ht="27.95" customHeight="1">
      <c r="A25" s="371" t="s">
        <v>158</v>
      </c>
      <c r="B25" s="372"/>
      <c r="C25" s="139" t="s">
        <v>408</v>
      </c>
      <c r="D25" s="375"/>
      <c r="E25" s="672" t="str">
        <f>H25</f>
        <v>-</v>
      </c>
      <c r="F25" s="672" t="s">
        <v>60</v>
      </c>
      <c r="G25" s="671">
        <f>IF('IEQ Comment'!P220="Insert No. of Credit(s) Here","-",'IEQ Comment'!P220)</f>
        <v>0</v>
      </c>
      <c r="H25" s="671" t="str">
        <f>IF('IEQ Comment'!Q220="Insert No. of Credit(s) Here","-",'IEQ Comment'!Q220)</f>
        <v>-</v>
      </c>
      <c r="I25" s="16"/>
      <c r="V25" s="18"/>
    </row>
    <row r="26" spans="1:22" ht="27.95" customHeight="1">
      <c r="A26" s="208" t="s">
        <v>393</v>
      </c>
      <c r="B26" s="197"/>
      <c r="C26" s="198" t="s">
        <v>409</v>
      </c>
      <c r="D26" s="200"/>
      <c r="E26" s="672"/>
      <c r="F26" s="672"/>
      <c r="G26" s="671"/>
      <c r="H26" s="671"/>
      <c r="I26" s="16"/>
    </row>
    <row r="27" spans="1:22" ht="22.5" customHeight="1">
      <c r="A27" s="376" t="s">
        <v>13</v>
      </c>
      <c r="B27" s="377"/>
      <c r="C27" s="139" t="s">
        <v>410</v>
      </c>
      <c r="D27" s="372"/>
      <c r="E27" s="670" t="str">
        <f>H27</f>
        <v>Insert No. of Credit(s) Here</v>
      </c>
      <c r="F27" s="670" t="s">
        <v>60</v>
      </c>
      <c r="G27" s="669" t="s">
        <v>435</v>
      </c>
      <c r="H27" s="669" t="s">
        <v>435</v>
      </c>
      <c r="I27" s="16"/>
    </row>
    <row r="28" spans="1:22" ht="51">
      <c r="A28" s="211" t="s">
        <v>411</v>
      </c>
      <c r="B28" s="74"/>
      <c r="C28" s="92" t="s">
        <v>569</v>
      </c>
      <c r="D28" s="73"/>
      <c r="E28" s="670"/>
      <c r="F28" s="670"/>
      <c r="G28" s="669"/>
      <c r="H28" s="669"/>
      <c r="I28" s="16"/>
    </row>
    <row r="29" spans="1:22">
      <c r="A29" s="209"/>
      <c r="B29" s="74"/>
      <c r="C29" s="79"/>
      <c r="D29" s="73"/>
      <c r="E29" s="670"/>
      <c r="F29" s="670"/>
      <c r="G29" s="669"/>
      <c r="H29" s="669"/>
      <c r="I29" s="16"/>
    </row>
    <row r="30" spans="1:22">
      <c r="A30" s="210"/>
      <c r="B30" s="74"/>
      <c r="C30" s="223" t="s">
        <v>430</v>
      </c>
      <c r="D30" s="73"/>
      <c r="E30" s="670"/>
      <c r="F30" s="670"/>
      <c r="G30" s="669"/>
      <c r="H30" s="669"/>
      <c r="I30" s="16"/>
    </row>
    <row r="31" spans="1:22" ht="30" customHeight="1">
      <c r="A31" s="208"/>
      <c r="B31" s="205"/>
      <c r="C31" s="180" t="str">
        <f>IFERROR(VLOOKUP($E27,$U:$V,2,FALSE),"-")</f>
        <v>-</v>
      </c>
      <c r="D31" s="199"/>
      <c r="E31" s="670"/>
      <c r="F31" s="670"/>
      <c r="G31" s="669"/>
      <c r="H31" s="669"/>
      <c r="I31" s="16"/>
    </row>
    <row r="32" spans="1:22" ht="22.5" customHeight="1">
      <c r="A32" s="376" t="s">
        <v>13</v>
      </c>
      <c r="B32" s="377"/>
      <c r="C32" s="139" t="s">
        <v>410</v>
      </c>
      <c r="D32" s="372"/>
      <c r="E32" s="670" t="str">
        <f>H32</f>
        <v>Insert No. of Credit(s) Here</v>
      </c>
      <c r="F32" s="670" t="s">
        <v>60</v>
      </c>
      <c r="G32" s="669" t="s">
        <v>435</v>
      </c>
      <c r="H32" s="669" t="s">
        <v>435</v>
      </c>
      <c r="I32" s="16"/>
    </row>
    <row r="33" spans="1:9" ht="25.5">
      <c r="A33" s="211" t="s">
        <v>411</v>
      </c>
      <c r="B33" s="74"/>
      <c r="C33" s="223" t="s">
        <v>430</v>
      </c>
      <c r="D33" s="73"/>
      <c r="E33" s="670"/>
      <c r="F33" s="670"/>
      <c r="G33" s="669"/>
      <c r="H33" s="669"/>
      <c r="I33" s="16"/>
    </row>
    <row r="34" spans="1:9" ht="30" customHeight="1">
      <c r="A34" s="208"/>
      <c r="B34" s="205"/>
      <c r="C34" s="180" t="str">
        <f>IFERROR(VLOOKUP($E32,$U:$V,2,FALSE),"-")</f>
        <v>-</v>
      </c>
      <c r="D34" s="199"/>
      <c r="E34" s="670"/>
      <c r="F34" s="670"/>
      <c r="G34" s="669"/>
      <c r="H34" s="669"/>
      <c r="I34" s="16"/>
    </row>
    <row r="35" spans="1:9" ht="22.5" customHeight="1">
      <c r="A35" s="376" t="s">
        <v>13</v>
      </c>
      <c r="B35" s="377"/>
      <c r="C35" s="139" t="s">
        <v>410</v>
      </c>
      <c r="D35" s="372"/>
      <c r="E35" s="670" t="str">
        <f>H35</f>
        <v>Insert No. of Credit(s) Here</v>
      </c>
      <c r="F35" s="670" t="s">
        <v>60</v>
      </c>
      <c r="G35" s="669" t="s">
        <v>435</v>
      </c>
      <c r="H35" s="669" t="s">
        <v>435</v>
      </c>
      <c r="I35" s="16"/>
    </row>
    <row r="36" spans="1:9" ht="25.5">
      <c r="A36" s="211" t="s">
        <v>411</v>
      </c>
      <c r="B36" s="74"/>
      <c r="C36" s="223" t="s">
        <v>430</v>
      </c>
      <c r="D36" s="73"/>
      <c r="E36" s="670"/>
      <c r="F36" s="670"/>
      <c r="G36" s="669"/>
      <c r="H36" s="669"/>
      <c r="I36" s="16"/>
    </row>
    <row r="37" spans="1:9" ht="30" customHeight="1">
      <c r="A37" s="208"/>
      <c r="B37" s="205"/>
      <c r="C37" s="180" t="str">
        <f>IFERROR(VLOOKUP($E35,$U:$V,2,FALSE),"-")</f>
        <v>-</v>
      </c>
      <c r="D37" s="199"/>
      <c r="E37" s="670"/>
      <c r="F37" s="670"/>
      <c r="G37" s="669"/>
      <c r="H37" s="669"/>
      <c r="I37" s="16"/>
    </row>
    <row r="38" spans="1:9" ht="22.5" customHeight="1">
      <c r="A38" s="376" t="s">
        <v>13</v>
      </c>
      <c r="B38" s="377"/>
      <c r="C38" s="139" t="s">
        <v>410</v>
      </c>
      <c r="D38" s="372"/>
      <c r="E38" s="670" t="str">
        <f>H38</f>
        <v>Insert No. of Credit(s) Here</v>
      </c>
      <c r="F38" s="670" t="s">
        <v>60</v>
      </c>
      <c r="G38" s="669" t="s">
        <v>435</v>
      </c>
      <c r="H38" s="669" t="s">
        <v>435</v>
      </c>
      <c r="I38" s="16"/>
    </row>
    <row r="39" spans="1:9" ht="25.5">
      <c r="A39" s="211" t="s">
        <v>411</v>
      </c>
      <c r="B39" s="74"/>
      <c r="C39" s="223" t="s">
        <v>430</v>
      </c>
      <c r="D39" s="73"/>
      <c r="E39" s="670"/>
      <c r="F39" s="670"/>
      <c r="G39" s="669"/>
      <c r="H39" s="669"/>
      <c r="I39" s="16"/>
    </row>
    <row r="40" spans="1:9" ht="30" customHeight="1">
      <c r="A40" s="208"/>
      <c r="B40" s="205"/>
      <c r="C40" s="180" t="str">
        <f>IFERROR(VLOOKUP($E38,$U:$V,2,FALSE),"-")</f>
        <v>-</v>
      </c>
      <c r="D40" s="199"/>
      <c r="E40" s="670"/>
      <c r="F40" s="670"/>
      <c r="G40" s="669"/>
      <c r="H40" s="669"/>
      <c r="I40" s="16"/>
    </row>
    <row r="41" spans="1:9" ht="22.5" customHeight="1">
      <c r="A41" s="376" t="s">
        <v>13</v>
      </c>
      <c r="B41" s="377"/>
      <c r="C41" s="139" t="s">
        <v>410</v>
      </c>
      <c r="D41" s="372"/>
      <c r="E41" s="670" t="str">
        <f>H41</f>
        <v>Insert No. of Credit(s) Here</v>
      </c>
      <c r="F41" s="670" t="s">
        <v>60</v>
      </c>
      <c r="G41" s="669" t="s">
        <v>435</v>
      </c>
      <c r="H41" s="669" t="s">
        <v>435</v>
      </c>
      <c r="I41" s="16"/>
    </row>
    <row r="42" spans="1:9" ht="25.5">
      <c r="A42" s="211" t="s">
        <v>411</v>
      </c>
      <c r="B42" s="74"/>
      <c r="C42" s="223" t="s">
        <v>430</v>
      </c>
      <c r="D42" s="73"/>
      <c r="E42" s="670"/>
      <c r="F42" s="670"/>
      <c r="G42" s="669"/>
      <c r="H42" s="669"/>
      <c r="I42" s="16"/>
    </row>
    <row r="43" spans="1:9" ht="30" customHeight="1">
      <c r="A43" s="208"/>
      <c r="B43" s="205"/>
      <c r="C43" s="180" t="str">
        <f>IFERROR(VLOOKUP($E41,$U:$V,2,FALSE),"-")</f>
        <v>-</v>
      </c>
      <c r="D43" s="199"/>
      <c r="E43" s="670"/>
      <c r="F43" s="670"/>
      <c r="G43" s="669"/>
      <c r="H43" s="669"/>
      <c r="I43" s="16"/>
    </row>
    <row r="44" spans="1:9" ht="22.5" customHeight="1">
      <c r="A44" s="376" t="s">
        <v>14</v>
      </c>
      <c r="B44" s="378"/>
      <c r="C44" s="161" t="s">
        <v>412</v>
      </c>
      <c r="D44" s="373"/>
      <c r="E44" s="670" t="str">
        <f>H44</f>
        <v>Insert No. of Credit(s) Here</v>
      </c>
      <c r="F44" s="670" t="s">
        <v>60</v>
      </c>
      <c r="G44" s="669" t="s">
        <v>435</v>
      </c>
      <c r="H44" s="669" t="s">
        <v>435</v>
      </c>
      <c r="I44" s="16"/>
    </row>
    <row r="45" spans="1:9" ht="51">
      <c r="A45" s="411" t="s">
        <v>411</v>
      </c>
      <c r="B45" s="73"/>
      <c r="C45" s="92" t="s">
        <v>570</v>
      </c>
      <c r="D45" s="79"/>
      <c r="E45" s="670"/>
      <c r="F45" s="670"/>
      <c r="G45" s="669"/>
      <c r="H45" s="669"/>
      <c r="I45" s="16"/>
    </row>
    <row r="46" spans="1:9">
      <c r="A46" s="210"/>
      <c r="B46" s="73"/>
      <c r="C46" s="79"/>
      <c r="D46" s="79"/>
      <c r="E46" s="670"/>
      <c r="F46" s="670"/>
      <c r="G46" s="669"/>
      <c r="H46" s="669"/>
      <c r="I46" s="16"/>
    </row>
    <row r="47" spans="1:9">
      <c r="A47" s="210"/>
      <c r="B47" s="73"/>
      <c r="C47" s="223" t="s">
        <v>430</v>
      </c>
      <c r="D47" s="79"/>
      <c r="E47" s="670"/>
      <c r="F47" s="670"/>
      <c r="G47" s="669"/>
      <c r="H47" s="669"/>
      <c r="I47" s="16"/>
    </row>
    <row r="48" spans="1:9" ht="30" customHeight="1">
      <c r="A48" s="208"/>
      <c r="B48" s="202"/>
      <c r="C48" s="180" t="str">
        <f>IFERROR(VLOOKUP($E44,$U:$V,2,FALSE),"-")</f>
        <v>-</v>
      </c>
      <c r="D48" s="166"/>
      <c r="E48" s="670"/>
      <c r="F48" s="670"/>
      <c r="G48" s="669"/>
      <c r="H48" s="669"/>
      <c r="I48" s="16"/>
    </row>
    <row r="49" spans="1:9" ht="22.5" customHeight="1">
      <c r="A49" s="376" t="s">
        <v>14</v>
      </c>
      <c r="B49" s="377"/>
      <c r="C49" s="161" t="s">
        <v>412</v>
      </c>
      <c r="D49" s="372"/>
      <c r="E49" s="670" t="str">
        <f>H49</f>
        <v>Insert No. of Credit(s) Here</v>
      </c>
      <c r="F49" s="670" t="s">
        <v>60</v>
      </c>
      <c r="G49" s="669" t="s">
        <v>435</v>
      </c>
      <c r="H49" s="669" t="s">
        <v>435</v>
      </c>
      <c r="I49" s="16"/>
    </row>
    <row r="50" spans="1:9" ht="25.5">
      <c r="A50" s="211" t="s">
        <v>411</v>
      </c>
      <c r="B50" s="74"/>
      <c r="C50" s="223" t="s">
        <v>430</v>
      </c>
      <c r="D50" s="73"/>
      <c r="E50" s="670"/>
      <c r="F50" s="670"/>
      <c r="G50" s="669"/>
      <c r="H50" s="669"/>
      <c r="I50" s="16"/>
    </row>
    <row r="51" spans="1:9" ht="30" customHeight="1">
      <c r="A51" s="208"/>
      <c r="B51" s="205"/>
      <c r="C51" s="180" t="str">
        <f>IFERROR(VLOOKUP($E49,$U:$V,2,FALSE),"-")</f>
        <v>-</v>
      </c>
      <c r="D51" s="199"/>
      <c r="E51" s="670"/>
      <c r="F51" s="670"/>
      <c r="G51" s="669"/>
      <c r="H51" s="669"/>
      <c r="I51" s="16"/>
    </row>
    <row r="52" spans="1:9" ht="22.5" customHeight="1">
      <c r="A52" s="376" t="s">
        <v>14</v>
      </c>
      <c r="B52" s="377"/>
      <c r="C52" s="161" t="s">
        <v>412</v>
      </c>
      <c r="D52" s="372"/>
      <c r="E52" s="670" t="str">
        <f>H52</f>
        <v>Insert No. of Credit(s) Here</v>
      </c>
      <c r="F52" s="670" t="s">
        <v>60</v>
      </c>
      <c r="G52" s="669" t="s">
        <v>435</v>
      </c>
      <c r="H52" s="669" t="s">
        <v>435</v>
      </c>
      <c r="I52" s="16"/>
    </row>
    <row r="53" spans="1:9" ht="25.5">
      <c r="A53" s="211" t="s">
        <v>411</v>
      </c>
      <c r="B53" s="74"/>
      <c r="C53" s="223" t="s">
        <v>430</v>
      </c>
      <c r="D53" s="73"/>
      <c r="E53" s="670"/>
      <c r="F53" s="670"/>
      <c r="G53" s="669"/>
      <c r="H53" s="669"/>
      <c r="I53" s="16"/>
    </row>
    <row r="54" spans="1:9" ht="30" customHeight="1">
      <c r="A54" s="208"/>
      <c r="B54" s="205"/>
      <c r="C54" s="180" t="str">
        <f>IFERROR(VLOOKUP($E52,$U:$V,2,FALSE),"-")</f>
        <v>-</v>
      </c>
      <c r="D54" s="199"/>
      <c r="E54" s="670"/>
      <c r="F54" s="670"/>
      <c r="G54" s="669"/>
      <c r="H54" s="669"/>
      <c r="I54" s="16"/>
    </row>
    <row r="55" spans="1:9" ht="22.5" customHeight="1">
      <c r="A55" s="376" t="s">
        <v>14</v>
      </c>
      <c r="B55" s="377"/>
      <c r="C55" s="161" t="s">
        <v>412</v>
      </c>
      <c r="D55" s="372"/>
      <c r="E55" s="670" t="str">
        <f>H55</f>
        <v>Insert No. of Credit(s) Here</v>
      </c>
      <c r="F55" s="670" t="s">
        <v>60</v>
      </c>
      <c r="G55" s="669" t="s">
        <v>435</v>
      </c>
      <c r="H55" s="669" t="s">
        <v>435</v>
      </c>
      <c r="I55" s="16"/>
    </row>
    <row r="56" spans="1:9" ht="25.5">
      <c r="A56" s="211" t="s">
        <v>411</v>
      </c>
      <c r="B56" s="74"/>
      <c r="C56" s="223" t="s">
        <v>430</v>
      </c>
      <c r="D56" s="73"/>
      <c r="E56" s="670"/>
      <c r="F56" s="670"/>
      <c r="G56" s="669"/>
      <c r="H56" s="669"/>
      <c r="I56" s="16"/>
    </row>
    <row r="57" spans="1:9" ht="30" customHeight="1">
      <c r="A57" s="208"/>
      <c r="B57" s="205"/>
      <c r="C57" s="180" t="str">
        <f>IFERROR(VLOOKUP($E55,$U:$V,2,FALSE),"-")</f>
        <v>-</v>
      </c>
      <c r="D57" s="199"/>
      <c r="E57" s="670"/>
      <c r="F57" s="670"/>
      <c r="G57" s="669"/>
      <c r="H57" s="669"/>
      <c r="I57" s="16"/>
    </row>
    <row r="58" spans="1:9" ht="22.5" customHeight="1">
      <c r="A58" s="376" t="s">
        <v>14</v>
      </c>
      <c r="B58" s="377"/>
      <c r="C58" s="161" t="s">
        <v>412</v>
      </c>
      <c r="D58" s="372"/>
      <c r="E58" s="670" t="str">
        <f>H58</f>
        <v>Insert No. of Credit(s) Here</v>
      </c>
      <c r="F58" s="670" t="s">
        <v>60</v>
      </c>
      <c r="G58" s="669" t="s">
        <v>435</v>
      </c>
      <c r="H58" s="669" t="s">
        <v>435</v>
      </c>
      <c r="I58" s="16"/>
    </row>
    <row r="59" spans="1:9" ht="25.5">
      <c r="A59" s="211" t="s">
        <v>411</v>
      </c>
      <c r="B59" s="74"/>
      <c r="C59" s="223" t="s">
        <v>430</v>
      </c>
      <c r="D59" s="73"/>
      <c r="E59" s="670"/>
      <c r="F59" s="670"/>
      <c r="G59" s="669"/>
      <c r="H59" s="669"/>
      <c r="I59" s="16"/>
    </row>
    <row r="60" spans="1:9" ht="30" customHeight="1">
      <c r="A60" s="208"/>
      <c r="B60" s="205"/>
      <c r="C60" s="180" t="str">
        <f>IFERROR(VLOOKUP($E58,$U:$V,2,FALSE),"-")</f>
        <v>-</v>
      </c>
      <c r="D60" s="199"/>
      <c r="E60" s="670"/>
      <c r="F60" s="670"/>
      <c r="G60" s="669"/>
      <c r="H60" s="669"/>
      <c r="I60" s="16"/>
    </row>
    <row r="61" spans="1:9" ht="22.5" customHeight="1">
      <c r="A61" s="376" t="s">
        <v>15</v>
      </c>
      <c r="B61" s="214"/>
      <c r="C61" s="364" t="s">
        <v>16</v>
      </c>
      <c r="D61" s="214"/>
      <c r="E61" s="670" t="str">
        <f>H61</f>
        <v>Insert No. of Credit(s) Here</v>
      </c>
      <c r="F61" s="670" t="s">
        <v>60</v>
      </c>
      <c r="G61" s="669" t="s">
        <v>435</v>
      </c>
      <c r="H61" s="669" t="s">
        <v>435</v>
      </c>
      <c r="I61" s="16"/>
    </row>
    <row r="62" spans="1:9" ht="25.5">
      <c r="A62" s="210" t="s">
        <v>182</v>
      </c>
      <c r="B62" s="73"/>
      <c r="C62" s="92" t="s">
        <v>571</v>
      </c>
      <c r="D62" s="85"/>
      <c r="E62" s="670"/>
      <c r="F62" s="670"/>
      <c r="G62" s="669"/>
      <c r="H62" s="669"/>
      <c r="I62" s="16"/>
    </row>
    <row r="63" spans="1:9">
      <c r="A63" s="210"/>
      <c r="B63" s="73"/>
      <c r="C63" s="79"/>
      <c r="D63" s="85"/>
      <c r="E63" s="670"/>
      <c r="F63" s="670"/>
      <c r="G63" s="669"/>
      <c r="H63" s="669"/>
      <c r="I63" s="16"/>
    </row>
    <row r="64" spans="1:9">
      <c r="A64" s="211"/>
      <c r="B64" s="61"/>
      <c r="C64" s="223" t="s">
        <v>430</v>
      </c>
      <c r="D64" s="73"/>
      <c r="E64" s="670"/>
      <c r="F64" s="670"/>
      <c r="G64" s="669"/>
      <c r="H64" s="669"/>
      <c r="I64" s="16"/>
    </row>
    <row r="65" spans="1:22" ht="30" customHeight="1">
      <c r="A65" s="212"/>
      <c r="B65" s="203"/>
      <c r="C65" s="180" t="str">
        <f>IFERROR(VLOOKUP($E61,$U:$V,2,FALSE),"-")</f>
        <v>-</v>
      </c>
      <c r="D65" s="206"/>
      <c r="E65" s="670"/>
      <c r="F65" s="670"/>
      <c r="G65" s="669"/>
      <c r="H65" s="669"/>
      <c r="I65" s="16"/>
    </row>
    <row r="66" spans="1:22" s="75" customFormat="1" ht="22.5" customHeight="1">
      <c r="A66" s="673" t="s">
        <v>413</v>
      </c>
      <c r="B66" s="674"/>
      <c r="C66" s="674"/>
      <c r="D66" s="207"/>
      <c r="E66" s="218">
        <f>H66</f>
        <v>0</v>
      </c>
      <c r="F66" s="218" t="s">
        <v>334</v>
      </c>
      <c r="G66" s="218">
        <f>IF(SUM(G7:G65)&lt;6,SUM(G7:G65),6)</f>
        <v>0</v>
      </c>
      <c r="H66" s="218">
        <f>IF(SUM(H7:H65)&lt;6,SUM(H7:H65),6)</f>
        <v>0</v>
      </c>
      <c r="I66" s="77"/>
      <c r="U66"/>
      <c r="V66"/>
    </row>
    <row r="67" spans="1:22" ht="22.5" customHeight="1">
      <c r="A67" s="16"/>
      <c r="B67" s="16"/>
      <c r="C67" s="16"/>
      <c r="D67" s="16"/>
      <c r="E67" s="16"/>
      <c r="F67" s="16"/>
      <c r="G67" s="16"/>
      <c r="H67" s="16"/>
      <c r="I67" s="16"/>
    </row>
    <row r="68" spans="1:22" ht="22.5" customHeight="1"/>
    <row r="69" spans="1:22" ht="22.5" customHeight="1">
      <c r="C69" t="s">
        <v>414</v>
      </c>
    </row>
    <row r="70" spans="1:22" ht="22.5" customHeight="1"/>
    <row r="71" spans="1:22" ht="22.5" customHeight="1"/>
    <row r="72" spans="1:22" ht="22.5" customHeight="1"/>
    <row r="73" spans="1:22" ht="22.5" customHeight="1"/>
    <row r="74" spans="1:22" ht="22.5" customHeight="1"/>
    <row r="75" spans="1:22" ht="22.5" customHeight="1"/>
    <row r="76" spans="1:22" ht="22.5" customHeight="1"/>
    <row r="77" spans="1:22" ht="22.5" customHeight="1"/>
    <row r="78" spans="1:22" ht="16.5" customHeight="1"/>
    <row r="79" spans="1:22" ht="39" customHeight="1"/>
    <row r="80" spans="1:22" ht="15" customHeight="1"/>
    <row r="81" ht="22.5" customHeight="1"/>
    <row r="82" ht="22.5" customHeight="1"/>
    <row r="83" ht="12" customHeight="1"/>
    <row r="84" ht="22.5" customHeight="1"/>
    <row r="85" ht="22.5" customHeight="1"/>
    <row r="86" ht="22.5" customHeight="1"/>
    <row r="87" ht="22.5" customHeight="1"/>
    <row r="88" ht="22.5" customHeight="1"/>
    <row r="89" ht="22.5" customHeight="1"/>
    <row r="90" ht="22.5" customHeight="1"/>
    <row r="91" ht="22.5" customHeight="1"/>
    <row r="92" ht="22.5" customHeight="1"/>
    <row r="93" ht="22.5" customHeight="1"/>
    <row r="94" ht="22.5" customHeight="1"/>
    <row r="95" ht="22.5" customHeight="1"/>
    <row r="96" ht="22.5" customHeight="1"/>
    <row r="97" spans="3:3" ht="22.5" customHeight="1"/>
    <row r="98" spans="3:3" ht="22.5" customHeight="1"/>
    <row r="99" spans="3:3" ht="22.5" customHeight="1">
      <c r="C99" t="s">
        <v>415</v>
      </c>
    </row>
    <row r="100" spans="3:3" ht="22.5" customHeight="1"/>
    <row r="101" spans="3:3" ht="22.5" customHeight="1"/>
    <row r="102" spans="3:3" ht="22.5" customHeight="1"/>
    <row r="103" spans="3:3" ht="22.5" customHeight="1"/>
    <row r="104" spans="3:3" ht="22.5" customHeight="1"/>
    <row r="105" spans="3:3" ht="22.5" customHeight="1"/>
    <row r="106" spans="3:3" ht="22.5" customHeight="1"/>
    <row r="107" spans="3:3" ht="22.5" customHeight="1"/>
    <row r="108" spans="3:3" ht="22.5" customHeight="1"/>
    <row r="109" spans="3:3" ht="22.5" customHeight="1"/>
    <row r="110" spans="3:3" ht="22.5" customHeight="1"/>
    <row r="111" spans="3:3" ht="22.5" customHeight="1"/>
    <row r="112" spans="3:3" ht="22.5" customHeight="1"/>
    <row r="113" spans="3:8" ht="22.5" customHeight="1"/>
    <row r="114" spans="3:8" ht="22.5" customHeight="1"/>
    <row r="115" spans="3:8" ht="22.5" customHeight="1"/>
    <row r="116" spans="3:8" ht="22.5" customHeight="1"/>
    <row r="117" spans="3:8" ht="22.5" customHeight="1"/>
    <row r="118" spans="3:8" ht="22.5" customHeight="1"/>
    <row r="119" spans="3:8" ht="22.5" customHeight="1">
      <c r="E119" s="76"/>
      <c r="F119" s="76"/>
      <c r="G119" s="76"/>
      <c r="H119" s="76"/>
    </row>
    <row r="120" spans="3:8" ht="22.5" customHeight="1"/>
    <row r="121" spans="3:8" ht="22.5" customHeight="1"/>
    <row r="122" spans="3:8" ht="22.5" customHeight="1"/>
    <row r="123" spans="3:8" ht="22.5" customHeight="1"/>
    <row r="124" spans="3:8" ht="22.5" customHeight="1"/>
    <row r="125" spans="3:8" ht="22.5" customHeight="1"/>
    <row r="126" spans="3:8" ht="22.5" customHeight="1"/>
    <row r="127" spans="3:8" ht="22.5" customHeight="1"/>
    <row r="128" spans="3:8" ht="22.5" customHeight="1">
      <c r="C128" t="s">
        <v>414</v>
      </c>
    </row>
    <row r="129" ht="22.5" customHeight="1"/>
    <row r="130" ht="22.5" customHeight="1"/>
    <row r="131" ht="22.5" customHeight="1"/>
    <row r="132" ht="22.5" customHeight="1"/>
    <row r="133" ht="22.5" customHeight="1"/>
    <row r="134" ht="22.5" customHeight="1"/>
    <row r="135" ht="22.5" customHeight="1"/>
    <row r="136" ht="22.5" customHeight="1"/>
    <row r="137" ht="22.5" customHeight="1"/>
    <row r="138" ht="22.5" customHeight="1"/>
    <row r="139" ht="22.5" customHeight="1"/>
    <row r="140" ht="22.5" customHeight="1"/>
    <row r="141" ht="22.5" customHeight="1"/>
    <row r="142" ht="22.5" customHeight="1"/>
    <row r="143" ht="22.5" customHeight="1"/>
    <row r="144" ht="22.5" customHeight="1"/>
    <row r="145" ht="22.5" customHeight="1"/>
    <row r="146" ht="22.5" customHeight="1"/>
    <row r="147" ht="22.5" customHeight="1"/>
    <row r="148" ht="22.5" customHeight="1"/>
    <row r="149" ht="22.5" customHeight="1"/>
    <row r="150" ht="22.5" customHeight="1"/>
    <row r="151" ht="22.5" customHeight="1"/>
    <row r="152" ht="22.5" customHeight="1"/>
    <row r="153" ht="22.5" customHeight="1"/>
    <row r="154" ht="22.5" customHeight="1"/>
    <row r="155" ht="22.5" customHeight="1"/>
    <row r="156" ht="22.5" customHeight="1"/>
    <row r="157" ht="22.5" customHeight="1"/>
    <row r="158" ht="22.5" customHeight="1"/>
    <row r="159" ht="22.5" customHeight="1"/>
    <row r="160" ht="22.5" customHeight="1"/>
    <row r="161" ht="22.5" customHeight="1"/>
    <row r="162" ht="22.5" customHeight="1"/>
    <row r="163" ht="22.5" customHeight="1"/>
    <row r="164" ht="22.5" customHeight="1"/>
    <row r="165" ht="22.5" customHeight="1"/>
    <row r="166" ht="22.5" customHeight="1"/>
    <row r="167" ht="22.5" customHeight="1"/>
    <row r="168" ht="22.5" customHeight="1"/>
    <row r="169" ht="22.5" customHeight="1"/>
    <row r="170" ht="22.5" customHeight="1"/>
    <row r="171" ht="22.5" customHeight="1"/>
    <row r="172" ht="22.5" customHeight="1"/>
    <row r="173" ht="22.5" customHeight="1"/>
    <row r="174" ht="22.5" customHeight="1"/>
    <row r="175" ht="22.5" customHeight="1"/>
    <row r="176" ht="22.5" customHeight="1"/>
    <row r="177" ht="22.5" customHeight="1"/>
    <row r="178" ht="22.5" customHeight="1"/>
    <row r="179" ht="22.5" customHeight="1"/>
    <row r="180" ht="22.5" customHeight="1"/>
    <row r="181" ht="22.5" customHeight="1"/>
    <row r="182" ht="22.5" customHeight="1"/>
    <row r="183" ht="22.5" customHeight="1"/>
    <row r="184" ht="22.5" customHeight="1"/>
    <row r="185" ht="22.5" customHeight="1"/>
    <row r="186" ht="22.5" customHeight="1"/>
    <row r="187" ht="22.5" customHeight="1"/>
    <row r="188" ht="22.5" customHeight="1"/>
    <row r="189" ht="22.5" customHeight="1"/>
    <row r="190" ht="22.5" customHeight="1"/>
    <row r="191" ht="22.5" customHeight="1"/>
    <row r="192" ht="22.5" customHeight="1"/>
    <row r="193" ht="22.5" customHeight="1"/>
    <row r="194" ht="22.5" customHeight="1"/>
    <row r="195" ht="22.5" customHeight="1"/>
    <row r="196" ht="22.5" customHeight="1"/>
    <row r="197" ht="22.5" customHeight="1"/>
    <row r="198" ht="22.5" customHeight="1"/>
    <row r="199" ht="22.5" customHeight="1"/>
    <row r="200" ht="22.5" customHeight="1"/>
    <row r="201" ht="22.5" customHeight="1"/>
    <row r="202" ht="22.5" customHeight="1"/>
    <row r="203" ht="22.5" customHeight="1"/>
    <row r="204" ht="22.5" customHeight="1"/>
    <row r="205" ht="22.5" customHeight="1"/>
    <row r="206" ht="22.5" customHeight="1"/>
    <row r="207" ht="22.5" customHeight="1"/>
    <row r="208" ht="22.5" customHeight="1"/>
    <row r="209" ht="22.5" customHeight="1"/>
    <row r="210" ht="22.5" customHeight="1"/>
    <row r="211" ht="22.5" customHeight="1"/>
    <row r="212" ht="22.5" customHeight="1"/>
    <row r="213" ht="22.5" customHeight="1"/>
    <row r="214" ht="22.5" customHeight="1"/>
    <row r="215" ht="22.5" customHeight="1"/>
    <row r="216" ht="22.5" customHeight="1"/>
    <row r="217" ht="22.5" customHeight="1"/>
    <row r="218" ht="22.5" customHeight="1"/>
    <row r="219" ht="22.5" customHeight="1"/>
    <row r="220" ht="22.5" customHeight="1"/>
    <row r="221" ht="22.5" customHeight="1"/>
    <row r="222" ht="22.5" customHeight="1"/>
    <row r="223" ht="22.5" customHeight="1"/>
    <row r="224" ht="22.5" customHeight="1"/>
    <row r="225" ht="22.5" customHeight="1"/>
    <row r="226" ht="22.5" customHeight="1"/>
    <row r="227" ht="22.5" customHeight="1"/>
    <row r="228" ht="22.5" customHeight="1"/>
    <row r="229" ht="22.5" customHeight="1"/>
    <row r="230" ht="22.5" customHeight="1"/>
    <row r="231" ht="22.5" customHeight="1"/>
    <row r="232" ht="22.5" customHeight="1"/>
    <row r="233" ht="22.5" customHeight="1"/>
    <row r="234" ht="22.5" customHeight="1"/>
    <row r="235" ht="22.5" customHeight="1"/>
    <row r="236" ht="22.5" customHeight="1"/>
    <row r="237" ht="22.5" customHeight="1"/>
    <row r="238" ht="22.5" customHeight="1"/>
    <row r="239" ht="22.5" customHeight="1"/>
    <row r="240" ht="22.5" customHeight="1"/>
    <row r="241" ht="22.5" customHeight="1"/>
    <row r="242" ht="22.5" customHeight="1"/>
    <row r="243" ht="22.5" customHeight="1"/>
    <row r="244" ht="22.5" customHeight="1"/>
    <row r="245" ht="22.5" customHeight="1"/>
    <row r="246" ht="22.5" customHeight="1"/>
    <row r="247" ht="22.5" customHeight="1"/>
    <row r="248" ht="22.5" customHeight="1"/>
    <row r="249" ht="22.5" customHeight="1"/>
    <row r="250" ht="22.5" customHeight="1"/>
    <row r="251" ht="22.5" customHeight="1"/>
    <row r="252" ht="22.5" customHeight="1"/>
    <row r="253" ht="22.5" customHeight="1"/>
    <row r="254" ht="22.5" customHeight="1"/>
    <row r="255" ht="22.5" customHeight="1"/>
    <row r="256" ht="22.5" customHeight="1"/>
    <row r="257" ht="22.5" customHeight="1"/>
    <row r="258" ht="22.5" customHeight="1"/>
    <row r="259" ht="22.5" customHeight="1"/>
    <row r="260" ht="22.5" customHeight="1"/>
    <row r="261" ht="22.5" customHeight="1"/>
    <row r="262" ht="22.5" customHeight="1"/>
    <row r="263" ht="22.5" customHeight="1"/>
    <row r="264" ht="22.5" customHeight="1"/>
    <row r="265" ht="22.5" customHeight="1"/>
    <row r="266" ht="22.5" customHeight="1"/>
    <row r="267" ht="22.5" customHeight="1"/>
    <row r="268" ht="22.5" customHeight="1"/>
    <row r="269" ht="22.5" customHeight="1"/>
    <row r="270" ht="22.5" customHeight="1"/>
    <row r="271" ht="22.5" customHeight="1"/>
    <row r="272" ht="22.5" customHeight="1"/>
    <row r="273" ht="22.5" customHeight="1"/>
    <row r="274" ht="22.5" customHeight="1"/>
    <row r="275" ht="22.5" customHeight="1"/>
    <row r="276" ht="22.5" customHeight="1"/>
    <row r="277" ht="22.5" customHeight="1"/>
    <row r="278" ht="22.5" customHeight="1"/>
    <row r="279" ht="22.5" customHeight="1"/>
    <row r="280" ht="22.5" customHeight="1"/>
    <row r="281" ht="22.5" customHeight="1"/>
    <row r="282" ht="22.5" customHeight="1"/>
    <row r="283" ht="22.5" customHeight="1"/>
    <row r="284" ht="22.5" customHeight="1"/>
    <row r="285" ht="22.5" customHeight="1"/>
    <row r="286" ht="22.5" customHeight="1"/>
    <row r="287" ht="22.5" customHeight="1"/>
    <row r="288" ht="22.5" customHeight="1"/>
    <row r="289" ht="22.5" customHeight="1"/>
    <row r="290" ht="22.5" customHeight="1"/>
    <row r="291" ht="22.5" customHeight="1"/>
    <row r="292" ht="22.5" customHeight="1"/>
    <row r="293" ht="22.5" customHeight="1"/>
    <row r="294" ht="22.5" customHeight="1"/>
    <row r="295" ht="22.5" customHeight="1"/>
    <row r="296" ht="22.5" customHeight="1"/>
    <row r="297" ht="22.5" customHeight="1"/>
    <row r="298" ht="22.5" customHeight="1"/>
    <row r="299" ht="22.5" customHeight="1"/>
    <row r="300" ht="22.5" customHeight="1"/>
    <row r="301" ht="22.5" customHeight="1"/>
    <row r="302" ht="22.5" customHeight="1"/>
    <row r="303" ht="22.5" customHeight="1"/>
    <row r="304" ht="22.5" customHeight="1"/>
    <row r="305" ht="22.5" customHeight="1"/>
    <row r="306" ht="22.5" customHeight="1"/>
    <row r="307" ht="22.5" customHeight="1"/>
    <row r="308" ht="22.5" customHeight="1"/>
    <row r="309" ht="22.5" customHeight="1"/>
    <row r="310" ht="22.5" customHeight="1"/>
    <row r="311" ht="22.5" customHeight="1"/>
    <row r="312" ht="22.5" customHeight="1"/>
    <row r="313" ht="22.5" customHeight="1"/>
    <row r="314" ht="22.5" customHeight="1"/>
    <row r="315" ht="22.5" customHeight="1"/>
    <row r="316" ht="22.5" customHeight="1"/>
    <row r="317" ht="22.5" customHeight="1"/>
    <row r="318" ht="22.5" customHeight="1"/>
    <row r="319" ht="22.5" customHeight="1"/>
    <row r="320" ht="22.5" customHeight="1"/>
    <row r="321" spans="21:22" ht="22.5" customHeight="1"/>
    <row r="322" spans="21:22" ht="22.5" customHeight="1"/>
    <row r="323" spans="21:22" ht="22.5" customHeight="1"/>
    <row r="324" spans="21:22" ht="22.5" customHeight="1">
      <c r="U324" t="s">
        <v>3</v>
      </c>
      <c r="V324" t="str">
        <f>"The prerequisite is achieved in the "&amp; 'Project Summary'!C9 &amp; "."</f>
        <v>The prerequisite is achieved in the Provisional Assessment.</v>
      </c>
    </row>
    <row r="325" spans="21:22" ht="22.5" customHeight="1">
      <c r="U325" t="s">
        <v>379</v>
      </c>
      <c r="V325" t="str">
        <f>"No information was submitted. Credit is not achieved in the "&amp; 'Project Summary'!C9 &amp; "."</f>
        <v>No information was submitted. Credit is not achieved in the Provisional Assessment.</v>
      </c>
    </row>
    <row r="326" spans="21:22" ht="22.5" customHeight="1">
      <c r="U326" t="s">
        <v>4</v>
      </c>
      <c r="V326" t="str">
        <f>"Credit is not applicable in the "&amp; 'Project Summary'!C9 &amp; "."</f>
        <v>Credit is not applicable in the Provisional Assessment.</v>
      </c>
    </row>
    <row r="327" spans="21:22" ht="22.5" customHeight="1">
      <c r="U327">
        <v>0</v>
      </c>
      <c r="V327" t="str">
        <f>"Credit is not achieved in the "&amp; 'Project Summary'!C9 &amp; "."</f>
        <v>Credit is not achieved in the Provisional Assessment.</v>
      </c>
    </row>
    <row r="328" spans="21:22" ht="22.5" customHeight="1">
      <c r="U328">
        <v>1</v>
      </c>
      <c r="V328" t="str">
        <f>"1 credit is achieved in the "&amp; 'Project Summary'!C9 &amp; "."</f>
        <v>1 credit is achieved in the Provisional Assessment.</v>
      </c>
    </row>
    <row r="329" spans="21:22" ht="22.5" customHeight="1">
      <c r="U329">
        <v>2</v>
      </c>
      <c r="V329" t="str">
        <f>"2 credits are achieved in the "&amp; 'Project Summary'!C9 &amp; "."</f>
        <v>2 credits are achieved in the Provisional Assessment.</v>
      </c>
    </row>
    <row r="330" spans="21:22" ht="22.5" customHeight="1"/>
    <row r="331" spans="21:22" ht="22.5" customHeight="1">
      <c r="U331">
        <v>3</v>
      </c>
      <c r="V331" t="str">
        <f>"3 credits are achieved in the "&amp; 'Project Summary'!C9 &amp; "."</f>
        <v>3 credits are achieved in the Provisional Assessment.</v>
      </c>
    </row>
    <row r="332" spans="21:22" ht="22.5" customHeight="1">
      <c r="U332">
        <v>4</v>
      </c>
      <c r="V332" t="str">
        <f>"4 credits are achieved in the "&amp; 'Project Summary'!C9 &amp; "."</f>
        <v>4 credits are achieved in the Provisional Assessment.</v>
      </c>
    </row>
    <row r="333" spans="21:22" ht="22.5" customHeight="1">
      <c r="U333">
        <v>5</v>
      </c>
      <c r="V333" t="str">
        <f>"5 credits are achieved in the "&amp; 'Project Summary'!C9 &amp; "."</f>
        <v>5 credits are achieved in the Provisional Assessment.</v>
      </c>
    </row>
    <row r="334" spans="21:22" ht="22.5" customHeight="1">
      <c r="U334">
        <v>6</v>
      </c>
      <c r="V334" t="str">
        <f>"6 credits are achieved in the "&amp; 'Project Summary'!C9 &amp; "."</f>
        <v>6 credits are achieved in the Provisional Assessment.</v>
      </c>
    </row>
    <row r="335" spans="21:22" ht="22.5" customHeight="1">
      <c r="U335">
        <v>7</v>
      </c>
      <c r="V335" t="str">
        <f>"7 credits are achieved in the "&amp; 'Project Summary'!C9 &amp; "."</f>
        <v>7 credits are achieved in the Provisional Assessment.</v>
      </c>
    </row>
    <row r="336" spans="21:22" ht="22.5" customHeight="1">
      <c r="U336">
        <v>8</v>
      </c>
      <c r="V336" t="str">
        <f>"8 credits are achieved in the "&amp; 'Project Summary'!C9 &amp; "."</f>
        <v>8 credits are achieved in the Provisional Assessment.</v>
      </c>
    </row>
    <row r="337" spans="20:22" ht="22.5" customHeight="1">
      <c r="U337">
        <v>9</v>
      </c>
      <c r="V337" t="str">
        <f>"9 credits are achieved in the "&amp; 'Project Summary'!C9 &amp; "."</f>
        <v>9 credits are achieved in the Provisional Assessment.</v>
      </c>
    </row>
    <row r="338" spans="20:22" ht="22.5" customHeight="1">
      <c r="U338">
        <v>10</v>
      </c>
      <c r="V338" t="str">
        <f>"10 credits are achieved in the "&amp; 'Project Summary'!C9 &amp; "."</f>
        <v>10 credits are achieved in the Provisional Assessment.</v>
      </c>
    </row>
    <row r="339" spans="20:22" ht="22.5" customHeight="1">
      <c r="U339">
        <v>11</v>
      </c>
      <c r="V339" t="str">
        <f>"11 credits are achieved in the "&amp; 'Project Summary'!C9 &amp; "."</f>
        <v>11 credits are achieved in the Provisional Assessment.</v>
      </c>
    </row>
    <row r="340" spans="20:22" ht="22.5" customHeight="1">
      <c r="U340">
        <v>12</v>
      </c>
      <c r="V340" t="str">
        <f>"12 credits are achieved in the "&amp; 'Project Summary'!C9 &amp; "."</f>
        <v>12 credits are achieved in the Provisional Assessment.</v>
      </c>
    </row>
    <row r="341" spans="20:22" ht="22.5" customHeight="1">
      <c r="U341">
        <v>13</v>
      </c>
      <c r="V341" t="str">
        <f>"13 credits are achieved in the "&amp; 'Project Summary'!C9 &amp; "."</f>
        <v>13 credits are achieved in the Provisional Assessment.</v>
      </c>
    </row>
    <row r="342" spans="20:22" ht="22.5" customHeight="1">
      <c r="U342">
        <v>14</v>
      </c>
      <c r="V342" t="str">
        <f>"14 credits are achieved in the "&amp; 'Project Summary'!C9 &amp; "."</f>
        <v>14 credits are achieved in the Provisional Assessment.</v>
      </c>
    </row>
    <row r="343" spans="20:22" ht="22.5" customHeight="1">
      <c r="U343">
        <v>15</v>
      </c>
      <c r="V343" t="str">
        <f>"15 credits are achieved in the "&amp; 'Project Summary'!C9 &amp; "."</f>
        <v>15 credits are achieved in the Provisional Assessment.</v>
      </c>
    </row>
    <row r="344" spans="20:22" ht="22.5" customHeight="1">
      <c r="U344" t="s">
        <v>383</v>
      </c>
      <c r="V344" s="18" t="str">
        <f>"1 Bonus credit is achieved in the "&amp; 'Project Summary'!C9 &amp; "."</f>
        <v>1 Bonus credit is achieved in the Provisional Assessment.</v>
      </c>
    </row>
    <row r="345" spans="20:22" ht="22.5" customHeight="1"/>
    <row r="346" spans="20:22" ht="22.5" customHeight="1">
      <c r="T346" s="83" t="s">
        <v>420</v>
      </c>
    </row>
    <row r="347" spans="20:22" ht="22.5" customHeight="1">
      <c r="T347" t="s">
        <v>379</v>
      </c>
    </row>
    <row r="348" spans="20:22" ht="22.5" customHeight="1">
      <c r="T348">
        <v>10</v>
      </c>
    </row>
    <row r="349" spans="20:22" ht="22.5" customHeight="1">
      <c r="T349">
        <v>9</v>
      </c>
    </row>
    <row r="350" spans="20:22" ht="22.5" customHeight="1">
      <c r="T350">
        <v>8</v>
      </c>
    </row>
    <row r="351" spans="20:22" ht="22.5" customHeight="1">
      <c r="T351">
        <v>7</v>
      </c>
    </row>
    <row r="352" spans="20:22" ht="22.5" customHeight="1">
      <c r="T352">
        <v>6</v>
      </c>
    </row>
    <row r="353" spans="20:20" ht="22.5" customHeight="1">
      <c r="T353">
        <v>5</v>
      </c>
    </row>
    <row r="354" spans="20:20" ht="22.5" customHeight="1">
      <c r="T354">
        <v>4</v>
      </c>
    </row>
    <row r="355" spans="20:20" ht="22.5" customHeight="1">
      <c r="T355">
        <v>3</v>
      </c>
    </row>
    <row r="356" spans="20:20" ht="22.5" customHeight="1">
      <c r="T356">
        <v>2</v>
      </c>
    </row>
    <row r="357" spans="20:20" ht="22.5" customHeight="1">
      <c r="T357">
        <v>1</v>
      </c>
    </row>
    <row r="358" spans="20:20" ht="22.5" customHeight="1">
      <c r="T358">
        <v>0</v>
      </c>
    </row>
    <row r="359" spans="20:20" ht="22.5" customHeight="1"/>
    <row r="360" spans="20:20" ht="22.5" customHeight="1">
      <c r="T360" t="s">
        <v>379</v>
      </c>
    </row>
    <row r="361" spans="20:20" ht="22.5" customHeight="1">
      <c r="T361">
        <v>1</v>
      </c>
    </row>
    <row r="362" spans="20:20" ht="22.5" customHeight="1">
      <c r="T362">
        <v>0</v>
      </c>
    </row>
    <row r="363" spans="20:20" ht="22.5" customHeight="1"/>
    <row r="364" spans="20:20" ht="22.5" customHeight="1"/>
    <row r="365" spans="20:20" ht="22.5" customHeight="1"/>
    <row r="366" spans="20:20" ht="22.5" customHeight="1"/>
    <row r="367" spans="20:20" ht="22.5" customHeight="1"/>
    <row r="368" spans="20:20" ht="22.5" customHeight="1"/>
    <row r="369" ht="22.5" customHeight="1"/>
    <row r="370" ht="22.5" customHeight="1"/>
    <row r="371" ht="22.5" customHeight="1"/>
    <row r="372" ht="22.5" customHeight="1"/>
    <row r="373" ht="22.5" customHeight="1"/>
    <row r="374" ht="22.5" customHeight="1"/>
    <row r="375" ht="22.5" customHeight="1"/>
    <row r="376" ht="22.5" customHeight="1"/>
    <row r="377" ht="22.5" customHeight="1"/>
    <row r="378" ht="22.5" customHeight="1"/>
    <row r="379" ht="22.5" customHeight="1"/>
    <row r="380" ht="22.5" customHeight="1"/>
    <row r="381" ht="22.5" customHeight="1"/>
    <row r="382" ht="22.5" customHeight="1"/>
    <row r="383" ht="22.5" customHeight="1"/>
    <row r="384" ht="22.5" customHeight="1"/>
    <row r="385" ht="22.5" customHeight="1"/>
    <row r="386" ht="22.5" customHeight="1"/>
    <row r="387" ht="22.5" customHeight="1"/>
    <row r="388" ht="22.5" customHeight="1"/>
    <row r="389" ht="22.5" customHeight="1"/>
    <row r="390" ht="22.5" customHeight="1"/>
    <row r="391" ht="22.5" customHeight="1"/>
    <row r="392" ht="22.5" customHeight="1"/>
    <row r="393" ht="22.5" customHeight="1"/>
    <row r="394" ht="22.5" customHeight="1"/>
    <row r="395" ht="22.5" customHeight="1"/>
    <row r="396" ht="22.5" customHeight="1"/>
    <row r="397" ht="22.5" customHeight="1"/>
    <row r="398" ht="22.5" customHeight="1"/>
    <row r="399" ht="22.5" customHeight="1"/>
    <row r="400" ht="22.5" customHeight="1"/>
    <row r="401" ht="22.5" customHeight="1"/>
    <row r="402" ht="22.5" customHeight="1"/>
    <row r="403" ht="22.5" customHeight="1"/>
    <row r="404" ht="22.5" customHeight="1"/>
    <row r="405" ht="22.5" customHeight="1"/>
    <row r="406" ht="22.5" customHeight="1"/>
    <row r="407" ht="22.5" customHeight="1"/>
    <row r="408" ht="22.5" customHeight="1"/>
    <row r="409" ht="22.5" customHeight="1"/>
    <row r="410" ht="22.5" customHeight="1"/>
    <row r="411" ht="22.5" customHeight="1"/>
    <row r="412" ht="22.5" customHeight="1"/>
    <row r="413" ht="22.5" customHeight="1"/>
    <row r="414" ht="22.5" customHeight="1"/>
    <row r="415" ht="22.5" customHeight="1"/>
    <row r="416" ht="22.5" customHeight="1"/>
  </sheetData>
  <sheetProtection formatRows="0"/>
  <protectedRanges>
    <protectedRange sqref="C10 C15 D16 C27 D24 D44 D11 C32 C35 C38 C41" name="Range1"/>
  </protectedRanges>
  <mergeCells count="86">
    <mergeCell ref="G55:G57"/>
    <mergeCell ref="G58:G60"/>
    <mergeCell ref="G61:G65"/>
    <mergeCell ref="G38:G40"/>
    <mergeCell ref="G41:G43"/>
    <mergeCell ref="G44:G48"/>
    <mergeCell ref="G49:G51"/>
    <mergeCell ref="G52:G54"/>
    <mergeCell ref="G23:G24"/>
    <mergeCell ref="G25:G26"/>
    <mergeCell ref="G27:G31"/>
    <mergeCell ref="G32:G34"/>
    <mergeCell ref="G35:G37"/>
    <mergeCell ref="H58:H60"/>
    <mergeCell ref="H32:H34"/>
    <mergeCell ref="E41:E43"/>
    <mergeCell ref="F41:F43"/>
    <mergeCell ref="H41:H43"/>
    <mergeCell ref="E38:E40"/>
    <mergeCell ref="F38:F40"/>
    <mergeCell ref="H38:H40"/>
    <mergeCell ref="E35:E37"/>
    <mergeCell ref="F35:F37"/>
    <mergeCell ref="H35:H37"/>
    <mergeCell ref="H44:H48"/>
    <mergeCell ref="E49:E51"/>
    <mergeCell ref="F49:F51"/>
    <mergeCell ref="H49:H51"/>
    <mergeCell ref="E55:E57"/>
    <mergeCell ref="H55:H57"/>
    <mergeCell ref="E52:E54"/>
    <mergeCell ref="F52:F54"/>
    <mergeCell ref="H52:H54"/>
    <mergeCell ref="A6:C6"/>
    <mergeCell ref="E7:E8"/>
    <mergeCell ref="E9:E10"/>
    <mergeCell ref="E11:E12"/>
    <mergeCell ref="E13:E14"/>
    <mergeCell ref="E27:E31"/>
    <mergeCell ref="F25:F26"/>
    <mergeCell ref="E44:E48"/>
    <mergeCell ref="E15:E16"/>
    <mergeCell ref="E17:E18"/>
    <mergeCell ref="E19:E20"/>
    <mergeCell ref="E21:E22"/>
    <mergeCell ref="E61:E65"/>
    <mergeCell ref="A66:C66"/>
    <mergeCell ref="E25:E26"/>
    <mergeCell ref="E32:E34"/>
    <mergeCell ref="F27:F31"/>
    <mergeCell ref="F44:F48"/>
    <mergeCell ref="E58:E60"/>
    <mergeCell ref="F58:F60"/>
    <mergeCell ref="F55:F57"/>
    <mergeCell ref="E23:E24"/>
    <mergeCell ref="H25:H26"/>
    <mergeCell ref="H27:H31"/>
    <mergeCell ref="F7:F8"/>
    <mergeCell ref="F9:F10"/>
    <mergeCell ref="F11:F12"/>
    <mergeCell ref="F13:F14"/>
    <mergeCell ref="F15:F16"/>
    <mergeCell ref="G7:G8"/>
    <mergeCell ref="G9:G10"/>
    <mergeCell ref="G11:G12"/>
    <mergeCell ref="G13:G14"/>
    <mergeCell ref="G15:G16"/>
    <mergeCell ref="G17:G18"/>
    <mergeCell ref="G19:G20"/>
    <mergeCell ref="G21:G22"/>
    <mergeCell ref="H61:H65"/>
    <mergeCell ref="F61:F65"/>
    <mergeCell ref="H7:H8"/>
    <mergeCell ref="H9:H10"/>
    <mergeCell ref="H11:H12"/>
    <mergeCell ref="H13:H14"/>
    <mergeCell ref="H15:H16"/>
    <mergeCell ref="F17:F18"/>
    <mergeCell ref="F32:F34"/>
    <mergeCell ref="H17:H18"/>
    <mergeCell ref="H19:H20"/>
    <mergeCell ref="H21:H22"/>
    <mergeCell ref="H23:H24"/>
    <mergeCell ref="F19:F20"/>
    <mergeCell ref="F21:F22"/>
    <mergeCell ref="F23:F24"/>
  </mergeCells>
  <phoneticPr fontId="31" type="noConversion"/>
  <dataValidations count="2">
    <dataValidation type="list" allowBlank="1" showInputMessage="1" showErrorMessage="1" sqref="G61:H65" xr:uid="{00000000-0002-0000-0800-000000000000}">
      <formula1>$T$360:$T$362</formula1>
    </dataValidation>
    <dataValidation type="list" allowBlank="1" showInputMessage="1" showErrorMessage="1" sqref="G27:H60" xr:uid="{00000000-0002-0000-0800-000001000000}">
      <formula1>$T$347:$T$358</formula1>
    </dataValidation>
  </dataValidations>
  <pageMargins left="0.78740157480314965" right="0.55118110236220474" top="0.51181102362204722" bottom="0.74803149606299213" header="0.31496062992125984" footer="0.31496062992125984"/>
  <pageSetup paperSize="9" orientation="portrait" r:id="rId1"/>
  <headerFooter>
    <oddFooter>&amp;C&amp;7page &amp;P+11&amp;R&amp;6
ALL RIGHTS RESERVED © COPYRIGHT</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I54"/>
  <sheetViews>
    <sheetView view="pageBreakPreview" zoomScaleNormal="85" zoomScaleSheetLayoutView="100" zoomScalePageLayoutView="70" workbookViewId="0">
      <selection activeCell="I8" sqref="I8"/>
    </sheetView>
  </sheetViews>
  <sheetFormatPr defaultRowHeight="12.75"/>
  <cols>
    <col min="1" max="1" width="8.7109375" customWidth="1"/>
    <col min="2" max="2" width="1.28515625" customWidth="1"/>
    <col min="3" max="4" width="37.7109375" customWidth="1"/>
    <col min="5" max="5" width="1.28515625" customWidth="1"/>
    <col min="6" max="8" width="9.140625" customWidth="1"/>
    <col min="9" max="9" width="12.42578125" customWidth="1"/>
    <col min="10" max="150" width="9.140625" customWidth="1"/>
    <col min="152" max="154" width="9.140625" customWidth="1"/>
  </cols>
  <sheetData>
    <row r="1" spans="1:9">
      <c r="A1" s="391"/>
      <c r="B1" s="391"/>
      <c r="C1" s="391"/>
      <c r="D1" s="391"/>
      <c r="E1" s="391"/>
      <c r="F1" s="16"/>
      <c r="I1" s="253" t="s">
        <v>600</v>
      </c>
    </row>
    <row r="2" spans="1:9">
      <c r="A2" s="391"/>
      <c r="B2" s="391"/>
      <c r="C2" s="391"/>
      <c r="D2" s="391"/>
      <c r="E2" s="392" t="str">
        <f>'Project Summary'!C6</f>
        <v>2123-123XX(x)</v>
      </c>
      <c r="F2" s="16"/>
    </row>
    <row r="3" spans="1:9">
      <c r="A3" s="391"/>
      <c r="B3" s="391"/>
      <c r="C3" s="391"/>
      <c r="D3" s="391"/>
      <c r="E3" s="392" t="str">
        <f>"BEAM Plus " &amp; 'Project Summary'!C9 &amp; " Report For"</f>
        <v>BEAM Plus Provisional Assessment Report For</v>
      </c>
      <c r="F3" s="16"/>
    </row>
    <row r="4" spans="1:9" ht="12" customHeight="1" thickBot="1">
      <c r="A4" s="391" t="s">
        <v>356</v>
      </c>
      <c r="B4" s="391"/>
      <c r="C4" s="391"/>
      <c r="D4" s="391"/>
      <c r="E4" s="392" t="str">
        <f>'Project Summary'!C7</f>
        <v>ABC Residential Development</v>
      </c>
      <c r="F4" s="16"/>
    </row>
    <row r="5" spans="1:9">
      <c r="A5" s="250"/>
      <c r="B5" s="250"/>
      <c r="C5" s="250"/>
      <c r="D5" s="250"/>
      <c r="E5" s="250"/>
      <c r="F5" s="16"/>
      <c r="H5" s="251" t="s">
        <v>172</v>
      </c>
      <c r="I5" s="252" t="s">
        <v>437</v>
      </c>
    </row>
    <row r="6" spans="1:9">
      <c r="A6" s="253" t="s">
        <v>355</v>
      </c>
      <c r="B6" s="253"/>
      <c r="C6" s="16"/>
      <c r="D6" s="16"/>
      <c r="E6" s="16"/>
      <c r="F6" s="16"/>
      <c r="H6" s="97" t="s">
        <v>115</v>
      </c>
      <c r="I6" s="254">
        <f>COUNTIF('SA Comment'!H8:H1278,"NA")</f>
        <v>0</v>
      </c>
    </row>
    <row r="7" spans="1:9">
      <c r="A7" s="16"/>
      <c r="B7" s="16"/>
      <c r="C7" s="16"/>
      <c r="D7" s="16"/>
      <c r="E7" s="16"/>
      <c r="F7" s="16"/>
      <c r="H7" s="97" t="s">
        <v>119</v>
      </c>
      <c r="I7" s="254">
        <f>COUNTIF('MA Comment'!H8:H1168,"NA")</f>
        <v>0</v>
      </c>
    </row>
    <row r="8" spans="1:9">
      <c r="A8" s="681" t="s">
        <v>416</v>
      </c>
      <c r="B8" s="681"/>
      <c r="C8" s="456"/>
      <c r="D8" s="456"/>
      <c r="E8" s="16"/>
      <c r="F8" s="16"/>
      <c r="H8" s="97" t="s">
        <v>116</v>
      </c>
      <c r="I8" s="254">
        <f>COUNTIF('EU Comment'!V10:V218,"NA")</f>
        <v>0</v>
      </c>
    </row>
    <row r="9" spans="1:9">
      <c r="A9" s="456"/>
      <c r="B9" s="456"/>
      <c r="C9" s="456"/>
      <c r="D9" s="456"/>
      <c r="E9" s="16"/>
      <c r="F9" s="16"/>
      <c r="H9" s="97" t="s">
        <v>118</v>
      </c>
      <c r="I9" s="254">
        <f>COUNTIF('WU Comment'!H8:H60,"NA")</f>
        <v>0</v>
      </c>
    </row>
    <row r="10" spans="1:9" ht="13.5" thickBot="1">
      <c r="A10" s="255"/>
      <c r="B10" s="255"/>
      <c r="C10" s="255"/>
      <c r="D10" s="255"/>
      <c r="E10" s="16"/>
      <c r="F10" s="16"/>
      <c r="H10" s="98" t="s">
        <v>117</v>
      </c>
      <c r="I10" s="256">
        <f>COUNTIF('IEQ Comment'!V10:V265,"NA")</f>
        <v>0</v>
      </c>
    </row>
    <row r="11" spans="1:9" ht="22.5" customHeight="1">
      <c r="A11" s="330" t="s">
        <v>172</v>
      </c>
      <c r="B11" s="678" t="s">
        <v>357</v>
      </c>
      <c r="C11" s="679"/>
      <c r="D11" s="679"/>
      <c r="E11" s="680"/>
      <c r="F11" s="16"/>
    </row>
    <row r="12" spans="1:9" ht="22.5" customHeight="1">
      <c r="A12" s="327" t="s">
        <v>278</v>
      </c>
      <c r="B12" s="328"/>
      <c r="C12" s="682" t="s">
        <v>358</v>
      </c>
      <c r="D12" s="682"/>
      <c r="E12" s="329"/>
      <c r="F12" s="16"/>
    </row>
    <row r="13" spans="1:9" ht="22.5" customHeight="1">
      <c r="A13" s="289" t="s">
        <v>278</v>
      </c>
      <c r="B13" s="294"/>
      <c r="C13" s="677" t="s">
        <v>358</v>
      </c>
      <c r="D13" s="677"/>
      <c r="E13" s="295"/>
      <c r="F13" s="16"/>
    </row>
    <row r="14" spans="1:9" ht="22.5" customHeight="1">
      <c r="A14" s="289" t="s">
        <v>278</v>
      </c>
      <c r="B14" s="294"/>
      <c r="C14" s="677" t="s">
        <v>358</v>
      </c>
      <c r="D14" s="677"/>
      <c r="E14" s="295"/>
      <c r="F14" s="16"/>
    </row>
    <row r="15" spans="1:9" ht="22.5" customHeight="1">
      <c r="A15" s="289" t="s">
        <v>278</v>
      </c>
      <c r="B15" s="294"/>
      <c r="C15" s="677" t="s">
        <v>358</v>
      </c>
      <c r="D15" s="677"/>
      <c r="E15" s="295"/>
      <c r="F15" s="16"/>
    </row>
    <row r="16" spans="1:9" ht="22.5" customHeight="1">
      <c r="A16" s="289" t="s">
        <v>278</v>
      </c>
      <c r="B16" s="294"/>
      <c r="C16" s="677" t="s">
        <v>358</v>
      </c>
      <c r="D16" s="677"/>
      <c r="E16" s="295"/>
      <c r="F16" s="16"/>
    </row>
    <row r="17" spans="1:6" ht="22.5" customHeight="1">
      <c r="A17" s="289" t="s">
        <v>278</v>
      </c>
      <c r="B17" s="294"/>
      <c r="C17" s="677" t="s">
        <v>358</v>
      </c>
      <c r="D17" s="677"/>
      <c r="E17" s="295"/>
      <c r="F17" s="16"/>
    </row>
    <row r="18" spans="1:6" ht="22.5" customHeight="1">
      <c r="A18" s="289" t="s">
        <v>278</v>
      </c>
      <c r="B18" s="294"/>
      <c r="C18" s="677" t="s">
        <v>358</v>
      </c>
      <c r="D18" s="677"/>
      <c r="E18" s="295"/>
      <c r="F18" s="16"/>
    </row>
    <row r="19" spans="1:6" ht="22.5" customHeight="1">
      <c r="A19" s="289" t="s">
        <v>278</v>
      </c>
      <c r="B19" s="294"/>
      <c r="C19" s="677" t="s">
        <v>358</v>
      </c>
      <c r="D19" s="677"/>
      <c r="E19" s="295"/>
      <c r="F19" s="16"/>
    </row>
    <row r="20" spans="1:6" ht="22.5" customHeight="1">
      <c r="A20" s="289" t="s">
        <v>278</v>
      </c>
      <c r="B20" s="294"/>
      <c r="C20" s="677" t="s">
        <v>358</v>
      </c>
      <c r="D20" s="677"/>
      <c r="E20" s="295"/>
      <c r="F20" s="16"/>
    </row>
    <row r="21" spans="1:6" ht="22.5" customHeight="1">
      <c r="A21" s="289" t="s">
        <v>278</v>
      </c>
      <c r="B21" s="294"/>
      <c r="C21" s="677" t="s">
        <v>358</v>
      </c>
      <c r="D21" s="677"/>
      <c r="E21" s="295"/>
      <c r="F21" s="16"/>
    </row>
    <row r="22" spans="1:6" ht="22.5" customHeight="1">
      <c r="A22" s="289" t="s">
        <v>278</v>
      </c>
      <c r="B22" s="294"/>
      <c r="C22" s="677" t="s">
        <v>358</v>
      </c>
      <c r="D22" s="677"/>
      <c r="E22" s="295"/>
      <c r="F22" s="16"/>
    </row>
    <row r="23" spans="1:6" ht="22.5" customHeight="1">
      <c r="A23" s="289" t="s">
        <v>278</v>
      </c>
      <c r="B23" s="294"/>
      <c r="C23" s="677" t="s">
        <v>358</v>
      </c>
      <c r="D23" s="677"/>
      <c r="E23" s="295"/>
      <c r="F23" s="16"/>
    </row>
    <row r="24" spans="1:6" ht="22.5" customHeight="1">
      <c r="A24" s="289" t="s">
        <v>278</v>
      </c>
      <c r="B24" s="294"/>
      <c r="C24" s="677" t="s">
        <v>358</v>
      </c>
      <c r="D24" s="677"/>
      <c r="E24" s="295"/>
      <c r="F24" s="16"/>
    </row>
    <row r="25" spans="1:6" ht="22.5" customHeight="1">
      <c r="A25" s="289" t="s">
        <v>278</v>
      </c>
      <c r="B25" s="294"/>
      <c r="C25" s="677" t="s">
        <v>358</v>
      </c>
      <c r="D25" s="677"/>
      <c r="E25" s="295"/>
      <c r="F25" s="16"/>
    </row>
    <row r="26" spans="1:6" ht="22.5" customHeight="1">
      <c r="A26" s="289" t="s">
        <v>278</v>
      </c>
      <c r="B26" s="294"/>
      <c r="C26" s="677" t="s">
        <v>358</v>
      </c>
      <c r="D26" s="677"/>
      <c r="E26" s="295"/>
      <c r="F26" s="16"/>
    </row>
    <row r="27" spans="1:6" ht="22.5" customHeight="1">
      <c r="A27" s="289" t="s">
        <v>278</v>
      </c>
      <c r="B27" s="294"/>
      <c r="C27" s="677" t="s">
        <v>358</v>
      </c>
      <c r="D27" s="677"/>
      <c r="E27" s="295"/>
      <c r="F27" s="16"/>
    </row>
    <row r="28" spans="1:6" ht="22.5" customHeight="1">
      <c r="A28" s="289" t="s">
        <v>278</v>
      </c>
      <c r="B28" s="294"/>
      <c r="C28" s="677" t="s">
        <v>358</v>
      </c>
      <c r="D28" s="677"/>
      <c r="E28" s="295"/>
      <c r="F28" s="16"/>
    </row>
    <row r="29" spans="1:6" ht="22.5" customHeight="1">
      <c r="A29" s="289" t="s">
        <v>278</v>
      </c>
      <c r="B29" s="294"/>
      <c r="C29" s="677" t="s">
        <v>358</v>
      </c>
      <c r="D29" s="677"/>
      <c r="E29" s="295"/>
      <c r="F29" s="16"/>
    </row>
    <row r="30" spans="1:6" ht="22.5" customHeight="1">
      <c r="A30" s="289" t="s">
        <v>278</v>
      </c>
      <c r="B30" s="294"/>
      <c r="C30" s="677" t="s">
        <v>358</v>
      </c>
      <c r="D30" s="677"/>
      <c r="E30" s="295"/>
      <c r="F30" s="16"/>
    </row>
    <row r="31" spans="1:6" ht="22.5" customHeight="1">
      <c r="A31" s="289" t="s">
        <v>278</v>
      </c>
      <c r="B31" s="294"/>
      <c r="C31" s="677" t="s">
        <v>358</v>
      </c>
      <c r="D31" s="677"/>
      <c r="E31" s="295"/>
      <c r="F31" s="16"/>
    </row>
    <row r="32" spans="1:6" ht="22.5" customHeight="1">
      <c r="A32" s="289" t="s">
        <v>278</v>
      </c>
      <c r="B32" s="294"/>
      <c r="C32" s="677" t="s">
        <v>358</v>
      </c>
      <c r="D32" s="677"/>
      <c r="E32" s="295"/>
      <c r="F32" s="16"/>
    </row>
    <row r="33" spans="1:6" ht="22.5" customHeight="1">
      <c r="A33" s="289" t="s">
        <v>278</v>
      </c>
      <c r="B33" s="294"/>
      <c r="C33" s="677" t="s">
        <v>358</v>
      </c>
      <c r="D33" s="677"/>
      <c r="E33" s="295"/>
      <c r="F33" s="16"/>
    </row>
    <row r="34" spans="1:6" ht="22.5" customHeight="1">
      <c r="A34" s="289" t="s">
        <v>278</v>
      </c>
      <c r="B34" s="294"/>
      <c r="C34" s="677" t="s">
        <v>358</v>
      </c>
      <c r="D34" s="677"/>
      <c r="E34" s="295"/>
      <c r="F34" s="16"/>
    </row>
    <row r="35" spans="1:6" ht="22.5" customHeight="1">
      <c r="A35" s="289" t="s">
        <v>278</v>
      </c>
      <c r="B35" s="294"/>
      <c r="C35" s="677" t="s">
        <v>358</v>
      </c>
      <c r="D35" s="677"/>
      <c r="E35" s="295"/>
      <c r="F35" s="16"/>
    </row>
    <row r="36" spans="1:6" ht="22.5" customHeight="1">
      <c r="A36" s="289" t="s">
        <v>278</v>
      </c>
      <c r="B36" s="294"/>
      <c r="C36" s="677" t="s">
        <v>358</v>
      </c>
      <c r="D36" s="677"/>
      <c r="E36" s="295"/>
      <c r="F36" s="16"/>
    </row>
    <row r="37" spans="1:6" ht="22.5" customHeight="1">
      <c r="A37" s="289" t="s">
        <v>278</v>
      </c>
      <c r="B37" s="294"/>
      <c r="C37" s="677" t="s">
        <v>358</v>
      </c>
      <c r="D37" s="677"/>
      <c r="E37" s="295"/>
      <c r="F37" s="16"/>
    </row>
    <row r="38" spans="1:6" ht="22.5" customHeight="1">
      <c r="A38" s="289" t="s">
        <v>278</v>
      </c>
      <c r="B38" s="294"/>
      <c r="C38" s="677" t="s">
        <v>358</v>
      </c>
      <c r="D38" s="677"/>
      <c r="E38" s="295"/>
      <c r="F38" s="16"/>
    </row>
    <row r="39" spans="1:6" ht="22.5" customHeight="1">
      <c r="A39" s="289" t="s">
        <v>278</v>
      </c>
      <c r="B39" s="294"/>
      <c r="C39" s="677" t="s">
        <v>358</v>
      </c>
      <c r="D39" s="677"/>
      <c r="E39" s="295"/>
      <c r="F39" s="16"/>
    </row>
    <row r="40" spans="1:6" ht="22.5" customHeight="1">
      <c r="A40" s="289" t="s">
        <v>278</v>
      </c>
      <c r="B40" s="294"/>
      <c r="C40" s="677" t="s">
        <v>358</v>
      </c>
      <c r="D40" s="677"/>
      <c r="E40" s="295"/>
      <c r="F40" s="16"/>
    </row>
    <row r="41" spans="1:6" ht="22.5" customHeight="1">
      <c r="A41" s="289" t="s">
        <v>278</v>
      </c>
      <c r="B41" s="294"/>
      <c r="C41" s="677" t="s">
        <v>358</v>
      </c>
      <c r="D41" s="677"/>
      <c r="E41" s="295"/>
      <c r="F41" s="16"/>
    </row>
    <row r="42" spans="1:6" ht="22.5" customHeight="1">
      <c r="A42" s="289" t="s">
        <v>278</v>
      </c>
      <c r="B42" s="294"/>
      <c r="C42" s="677" t="s">
        <v>358</v>
      </c>
      <c r="D42" s="677"/>
      <c r="E42" s="295"/>
      <c r="F42" s="16"/>
    </row>
    <row r="43" spans="1:6" ht="22.5" customHeight="1">
      <c r="A43" s="289" t="s">
        <v>278</v>
      </c>
      <c r="B43" s="294"/>
      <c r="C43" s="677" t="s">
        <v>358</v>
      </c>
      <c r="D43" s="677"/>
      <c r="E43" s="295"/>
      <c r="F43" s="16"/>
    </row>
    <row r="44" spans="1:6" ht="22.5" customHeight="1">
      <c r="A44" s="289" t="s">
        <v>278</v>
      </c>
      <c r="B44" s="294"/>
      <c r="C44" s="677" t="s">
        <v>358</v>
      </c>
      <c r="D44" s="677"/>
      <c r="E44" s="295"/>
      <c r="F44" s="16"/>
    </row>
    <row r="45" spans="1:6" ht="22.5" customHeight="1">
      <c r="A45" s="289" t="s">
        <v>278</v>
      </c>
      <c r="B45" s="294"/>
      <c r="C45" s="677" t="s">
        <v>358</v>
      </c>
      <c r="D45" s="677"/>
      <c r="E45" s="295"/>
      <c r="F45" s="16"/>
    </row>
    <row r="46" spans="1:6" ht="22.5" customHeight="1">
      <c r="A46" s="289" t="s">
        <v>278</v>
      </c>
      <c r="B46" s="294"/>
      <c r="C46" s="677" t="s">
        <v>358</v>
      </c>
      <c r="D46" s="677"/>
      <c r="E46" s="295"/>
      <c r="F46" s="16"/>
    </row>
    <row r="47" spans="1:6" ht="22.5" customHeight="1">
      <c r="A47" s="289" t="s">
        <v>278</v>
      </c>
      <c r="B47" s="294"/>
      <c r="C47" s="677" t="s">
        <v>358</v>
      </c>
      <c r="D47" s="677"/>
      <c r="E47" s="295"/>
      <c r="F47" s="16"/>
    </row>
    <row r="48" spans="1:6" ht="22.5" customHeight="1">
      <c r="A48" s="289" t="s">
        <v>278</v>
      </c>
      <c r="B48" s="294"/>
      <c r="C48" s="677" t="s">
        <v>358</v>
      </c>
      <c r="D48" s="677"/>
      <c r="E48" s="295"/>
      <c r="F48" s="16"/>
    </row>
    <row r="49" spans="1:6" ht="22.5" customHeight="1">
      <c r="A49" s="289" t="s">
        <v>278</v>
      </c>
      <c r="B49" s="294"/>
      <c r="C49" s="677" t="s">
        <v>358</v>
      </c>
      <c r="D49" s="677"/>
      <c r="E49" s="295"/>
      <c r="F49" s="16"/>
    </row>
    <row r="50" spans="1:6" ht="22.5" customHeight="1">
      <c r="A50" s="289" t="s">
        <v>278</v>
      </c>
      <c r="B50" s="294"/>
      <c r="C50" s="677" t="s">
        <v>358</v>
      </c>
      <c r="D50" s="677"/>
      <c r="E50" s="295"/>
      <c r="F50" s="16"/>
    </row>
    <row r="51" spans="1:6">
      <c r="A51" s="16"/>
      <c r="B51" s="16"/>
      <c r="C51" s="16"/>
      <c r="D51" s="16"/>
      <c r="E51" s="16"/>
      <c r="F51" s="16"/>
    </row>
    <row r="52" spans="1:6">
      <c r="A52" s="16"/>
      <c r="B52" s="16"/>
      <c r="C52" s="16"/>
      <c r="D52" s="16"/>
      <c r="E52" s="16"/>
      <c r="F52" s="16"/>
    </row>
    <row r="53" spans="1:6">
      <c r="A53" s="16"/>
      <c r="B53" s="16"/>
      <c r="C53" s="16"/>
      <c r="D53" s="16"/>
      <c r="E53" s="16"/>
      <c r="F53" s="16"/>
    </row>
    <row r="54" spans="1:6">
      <c r="A54" s="16"/>
      <c r="B54" s="16"/>
      <c r="C54" s="16"/>
      <c r="D54" s="16"/>
      <c r="E54" s="16"/>
      <c r="F54" s="16"/>
    </row>
  </sheetData>
  <sheetProtection formatRows="0"/>
  <mergeCells count="41">
    <mergeCell ref="C49:D49"/>
    <mergeCell ref="C50:D50"/>
    <mergeCell ref="C43:D43"/>
    <mergeCell ref="C44:D44"/>
    <mergeCell ref="C45:D45"/>
    <mergeCell ref="C46:D46"/>
    <mergeCell ref="C47:D47"/>
    <mergeCell ref="C48:D48"/>
    <mergeCell ref="A8:D9"/>
    <mergeCell ref="C12:D12"/>
    <mergeCell ref="C13:D13"/>
    <mergeCell ref="C14:D14"/>
    <mergeCell ref="C15:D15"/>
    <mergeCell ref="C16:D16"/>
    <mergeCell ref="C17:D17"/>
    <mergeCell ref="C18:D18"/>
    <mergeCell ref="C19:D19"/>
    <mergeCell ref="C41:D41"/>
    <mergeCell ref="C20:D20"/>
    <mergeCell ref="C21:D21"/>
    <mergeCell ref="C30:D30"/>
    <mergeCell ref="C31:D31"/>
    <mergeCell ref="C32:D32"/>
    <mergeCell ref="C33:D33"/>
    <mergeCell ref="C39:D39"/>
    <mergeCell ref="C42:D42"/>
    <mergeCell ref="B11:E11"/>
    <mergeCell ref="C24:D24"/>
    <mergeCell ref="C25:D25"/>
    <mergeCell ref="C26:D26"/>
    <mergeCell ref="C27:D27"/>
    <mergeCell ref="C28:D28"/>
    <mergeCell ref="C29:D29"/>
    <mergeCell ref="C23:D23"/>
    <mergeCell ref="C22:D22"/>
    <mergeCell ref="C40:D40"/>
    <mergeCell ref="C34:D34"/>
    <mergeCell ref="C35:D35"/>
    <mergeCell ref="C36:D36"/>
    <mergeCell ref="C37:D37"/>
    <mergeCell ref="C38:D38"/>
  </mergeCells>
  <phoneticPr fontId="31" type="noConversion"/>
  <pageMargins left="0.78740157480314965" right="0.55118110236220474" top="0.51181102362204722" bottom="0.74803149606299213" header="0.31496062992125984" footer="0.31496062992125984"/>
  <pageSetup paperSize="9" orientation="portrait" r:id="rId1"/>
  <headerFooter>
    <oddFooter>&amp;C&amp;7page &amp;P+11&amp;R&amp;6
ALL RIGHTS RESERVED © COPYRIGHT</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K51"/>
  <sheetViews>
    <sheetView view="pageBreakPreview" zoomScaleNormal="85" zoomScaleSheetLayoutView="100" zoomScalePageLayoutView="70" workbookViewId="0">
      <selection activeCell="K8" sqref="K8"/>
    </sheetView>
  </sheetViews>
  <sheetFormatPr defaultRowHeight="12.75"/>
  <cols>
    <col min="1" max="1" width="8.7109375" customWidth="1"/>
    <col min="2" max="2" width="1.28515625" customWidth="1"/>
    <col min="3" max="3" width="36.7109375" customWidth="1"/>
    <col min="4" max="5" width="1.28515625" customWidth="1"/>
    <col min="6" max="6" width="36.7109375" customWidth="1"/>
    <col min="7" max="7" width="1.28515625" customWidth="1"/>
    <col min="8" max="10" width="9.140625" customWidth="1"/>
    <col min="11" max="11" width="16.7109375" bestFit="1" customWidth="1"/>
    <col min="12" max="153" width="9.140625" customWidth="1"/>
    <col min="155" max="157" width="9.140625" customWidth="1"/>
  </cols>
  <sheetData>
    <row r="1" spans="1:11">
      <c r="A1" s="391"/>
      <c r="B1" s="391"/>
      <c r="C1" s="391"/>
      <c r="D1" s="391"/>
      <c r="E1" s="391"/>
      <c r="F1" s="391"/>
      <c r="G1" s="391"/>
      <c r="H1" s="16"/>
      <c r="I1" s="253" t="s">
        <v>600</v>
      </c>
    </row>
    <row r="2" spans="1:11">
      <c r="A2" s="391"/>
      <c r="B2" s="391"/>
      <c r="C2" s="391"/>
      <c r="D2" s="391"/>
      <c r="E2" s="391"/>
      <c r="F2" s="391"/>
      <c r="G2" s="392" t="str">
        <f>'Project Summary'!C6</f>
        <v>2123-123XX(x)</v>
      </c>
      <c r="H2" s="16"/>
    </row>
    <row r="3" spans="1:11">
      <c r="A3" s="391"/>
      <c r="B3" s="391"/>
      <c r="C3" s="391"/>
      <c r="D3" s="391"/>
      <c r="E3" s="391"/>
      <c r="F3" s="392"/>
      <c r="G3" s="392" t="str">
        <f>"BEAM Plus " &amp; 'Project Summary'!C9 &amp; " Report For"</f>
        <v>BEAM Plus Provisional Assessment Report For</v>
      </c>
      <c r="H3" s="16"/>
    </row>
    <row r="4" spans="1:11" ht="13.5" thickBot="1">
      <c r="A4" s="391" t="s">
        <v>353</v>
      </c>
      <c r="B4" s="391"/>
      <c r="C4" s="391"/>
      <c r="D4" s="391"/>
      <c r="E4" s="391"/>
      <c r="F4" s="392"/>
      <c r="G4" s="392" t="str">
        <f>'Project Summary'!C7</f>
        <v>ABC Residential Development</v>
      </c>
      <c r="H4" s="16"/>
    </row>
    <row r="5" spans="1:11">
      <c r="A5" s="250"/>
      <c r="B5" s="250"/>
      <c r="C5" s="250"/>
      <c r="D5" s="250"/>
      <c r="E5" s="250"/>
      <c r="F5" s="250"/>
      <c r="G5" s="250"/>
      <c r="H5" s="16"/>
      <c r="J5" s="251" t="s">
        <v>172</v>
      </c>
      <c r="K5" s="252" t="s">
        <v>460</v>
      </c>
    </row>
    <row r="6" spans="1:11">
      <c r="A6" s="253" t="s">
        <v>354</v>
      </c>
      <c r="B6" s="253"/>
      <c r="C6" s="16"/>
      <c r="D6" s="16"/>
      <c r="E6" s="16"/>
      <c r="F6" s="16"/>
      <c r="G6" s="16"/>
      <c r="H6" s="16"/>
      <c r="J6" s="97" t="s">
        <v>115</v>
      </c>
      <c r="K6" s="254">
        <f>COUNTIF('SA Comment'!H8:H128,0)</f>
        <v>0</v>
      </c>
    </row>
    <row r="7" spans="1:11">
      <c r="A7" s="16"/>
      <c r="B7" s="16"/>
      <c r="C7" s="16"/>
      <c r="D7" s="16"/>
      <c r="E7" s="16"/>
      <c r="F7" s="16"/>
      <c r="G7" s="16"/>
      <c r="H7" s="16"/>
      <c r="J7" s="97" t="s">
        <v>119</v>
      </c>
      <c r="K7" s="254">
        <f>COUNTIF('MA Comment'!H8:H117,0)</f>
        <v>0</v>
      </c>
    </row>
    <row r="8" spans="1:11">
      <c r="A8" s="681" t="s">
        <v>348</v>
      </c>
      <c r="B8" s="681"/>
      <c r="C8" s="456"/>
      <c r="D8" s="456"/>
      <c r="E8" s="456"/>
      <c r="F8" s="456"/>
      <c r="G8" s="255"/>
      <c r="H8" s="16"/>
      <c r="J8" s="97" t="s">
        <v>116</v>
      </c>
      <c r="K8" s="254">
        <f>COUNTIF('EU Comment'!W10:W218,0)</f>
        <v>0</v>
      </c>
    </row>
    <row r="9" spans="1:11">
      <c r="A9" s="456"/>
      <c r="B9" s="456"/>
      <c r="C9" s="456"/>
      <c r="D9" s="456"/>
      <c r="E9" s="456"/>
      <c r="F9" s="456"/>
      <c r="G9" s="255"/>
      <c r="H9" s="16"/>
      <c r="J9" s="97" t="s">
        <v>118</v>
      </c>
      <c r="K9" s="254">
        <f>COUNTIF('WU Comment'!H8:H60,0)</f>
        <v>0</v>
      </c>
    </row>
    <row r="10" spans="1:11" ht="13.5" thickBot="1">
      <c r="A10" s="255"/>
      <c r="B10" s="255"/>
      <c r="C10" s="255"/>
      <c r="D10" s="255"/>
      <c r="E10" s="255"/>
      <c r="F10" s="255"/>
      <c r="G10" s="255"/>
      <c r="H10" s="16"/>
      <c r="J10" s="98" t="s">
        <v>117</v>
      </c>
      <c r="K10" s="256">
        <f>COUNTIF('IEQ Comment'!W10:W265,0)</f>
        <v>0</v>
      </c>
    </row>
    <row r="11" spans="1:11" ht="22.5" customHeight="1">
      <c r="A11" s="330" t="s">
        <v>172</v>
      </c>
      <c r="B11" s="335"/>
      <c r="C11" s="335" t="s">
        <v>349</v>
      </c>
      <c r="D11" s="336"/>
      <c r="E11" s="337"/>
      <c r="F11" s="335" t="s">
        <v>350</v>
      </c>
      <c r="G11" s="338"/>
      <c r="H11" s="16"/>
    </row>
    <row r="12" spans="1:11" ht="22.5" customHeight="1">
      <c r="A12" s="327" t="s">
        <v>278</v>
      </c>
      <c r="B12" s="331"/>
      <c r="C12" s="332" t="s">
        <v>351</v>
      </c>
      <c r="D12" s="333"/>
      <c r="E12" s="334"/>
      <c r="F12" s="332" t="s">
        <v>352</v>
      </c>
      <c r="G12" s="333"/>
      <c r="H12" s="16"/>
    </row>
    <row r="13" spans="1:11" ht="22.5" customHeight="1">
      <c r="A13" s="289" t="s">
        <v>278</v>
      </c>
      <c r="B13" s="290"/>
      <c r="C13" s="291" t="s">
        <v>351</v>
      </c>
      <c r="D13" s="292"/>
      <c r="E13" s="293"/>
      <c r="F13" s="291" t="s">
        <v>352</v>
      </c>
      <c r="G13" s="292"/>
      <c r="H13" s="16"/>
    </row>
    <row r="14" spans="1:11" ht="22.5" customHeight="1">
      <c r="A14" s="289" t="s">
        <v>278</v>
      </c>
      <c r="B14" s="290"/>
      <c r="C14" s="291" t="s">
        <v>351</v>
      </c>
      <c r="D14" s="292"/>
      <c r="E14" s="293"/>
      <c r="F14" s="291" t="s">
        <v>352</v>
      </c>
      <c r="G14" s="292"/>
      <c r="H14" s="16"/>
    </row>
    <row r="15" spans="1:11" ht="22.5" customHeight="1">
      <c r="A15" s="289" t="s">
        <v>278</v>
      </c>
      <c r="B15" s="290"/>
      <c r="C15" s="291" t="s">
        <v>351</v>
      </c>
      <c r="D15" s="292"/>
      <c r="E15" s="293"/>
      <c r="F15" s="291" t="s">
        <v>352</v>
      </c>
      <c r="G15" s="292"/>
      <c r="H15" s="16"/>
    </row>
    <row r="16" spans="1:11" ht="22.5" customHeight="1">
      <c r="A16" s="289" t="s">
        <v>278</v>
      </c>
      <c r="B16" s="290"/>
      <c r="C16" s="291" t="s">
        <v>351</v>
      </c>
      <c r="D16" s="292"/>
      <c r="E16" s="293"/>
      <c r="F16" s="291" t="s">
        <v>352</v>
      </c>
      <c r="G16" s="292"/>
      <c r="H16" s="16"/>
    </row>
    <row r="17" spans="1:8" ht="22.5" customHeight="1">
      <c r="A17" s="289" t="s">
        <v>278</v>
      </c>
      <c r="B17" s="290"/>
      <c r="C17" s="291" t="s">
        <v>351</v>
      </c>
      <c r="D17" s="292"/>
      <c r="E17" s="293"/>
      <c r="F17" s="291" t="s">
        <v>352</v>
      </c>
      <c r="G17" s="292"/>
      <c r="H17" s="16"/>
    </row>
    <row r="18" spans="1:8" ht="22.5" customHeight="1">
      <c r="A18" s="289" t="s">
        <v>278</v>
      </c>
      <c r="B18" s="290"/>
      <c r="C18" s="291" t="s">
        <v>351</v>
      </c>
      <c r="D18" s="292"/>
      <c r="E18" s="293"/>
      <c r="F18" s="291" t="s">
        <v>352</v>
      </c>
      <c r="G18" s="292"/>
      <c r="H18" s="16"/>
    </row>
    <row r="19" spans="1:8" ht="22.5" customHeight="1">
      <c r="A19" s="289" t="s">
        <v>278</v>
      </c>
      <c r="B19" s="290"/>
      <c r="C19" s="291" t="s">
        <v>351</v>
      </c>
      <c r="D19" s="292"/>
      <c r="E19" s="293"/>
      <c r="F19" s="291" t="s">
        <v>352</v>
      </c>
      <c r="G19" s="292"/>
      <c r="H19" s="16"/>
    </row>
    <row r="20" spans="1:8" ht="22.5" customHeight="1">
      <c r="A20" s="289" t="s">
        <v>278</v>
      </c>
      <c r="B20" s="290"/>
      <c r="C20" s="291" t="s">
        <v>351</v>
      </c>
      <c r="D20" s="292"/>
      <c r="E20" s="293"/>
      <c r="F20" s="291" t="s">
        <v>352</v>
      </c>
      <c r="G20" s="292"/>
      <c r="H20" s="16"/>
    </row>
    <row r="21" spans="1:8" ht="22.5" customHeight="1">
      <c r="A21" s="289" t="s">
        <v>278</v>
      </c>
      <c r="B21" s="290"/>
      <c r="C21" s="291" t="s">
        <v>351</v>
      </c>
      <c r="D21" s="292"/>
      <c r="E21" s="293"/>
      <c r="F21" s="291" t="s">
        <v>352</v>
      </c>
      <c r="G21" s="292"/>
      <c r="H21" s="16"/>
    </row>
    <row r="22" spans="1:8" ht="22.5" customHeight="1">
      <c r="A22" s="289" t="s">
        <v>278</v>
      </c>
      <c r="B22" s="290"/>
      <c r="C22" s="291" t="s">
        <v>351</v>
      </c>
      <c r="D22" s="292"/>
      <c r="E22" s="293"/>
      <c r="F22" s="291" t="s">
        <v>352</v>
      </c>
      <c r="G22" s="292"/>
      <c r="H22" s="16"/>
    </row>
    <row r="23" spans="1:8" ht="22.5" customHeight="1">
      <c r="A23" s="289" t="s">
        <v>278</v>
      </c>
      <c r="B23" s="290"/>
      <c r="C23" s="291" t="s">
        <v>351</v>
      </c>
      <c r="D23" s="292"/>
      <c r="E23" s="293"/>
      <c r="F23" s="291" t="s">
        <v>352</v>
      </c>
      <c r="G23" s="292"/>
      <c r="H23" s="16"/>
    </row>
    <row r="24" spans="1:8" ht="22.5" customHeight="1">
      <c r="A24" s="289" t="s">
        <v>278</v>
      </c>
      <c r="B24" s="290"/>
      <c r="C24" s="291" t="s">
        <v>351</v>
      </c>
      <c r="D24" s="292"/>
      <c r="E24" s="293"/>
      <c r="F24" s="291" t="s">
        <v>352</v>
      </c>
      <c r="G24" s="292"/>
      <c r="H24" s="16"/>
    </row>
    <row r="25" spans="1:8" ht="22.5" customHeight="1">
      <c r="A25" s="289" t="s">
        <v>278</v>
      </c>
      <c r="B25" s="290"/>
      <c r="C25" s="291" t="s">
        <v>351</v>
      </c>
      <c r="D25" s="292"/>
      <c r="E25" s="293"/>
      <c r="F25" s="291" t="s">
        <v>352</v>
      </c>
      <c r="G25" s="292"/>
      <c r="H25" s="16"/>
    </row>
    <row r="26" spans="1:8" ht="22.5" customHeight="1">
      <c r="A26" s="289" t="s">
        <v>278</v>
      </c>
      <c r="B26" s="290"/>
      <c r="C26" s="291" t="s">
        <v>351</v>
      </c>
      <c r="D26" s="292"/>
      <c r="E26" s="293"/>
      <c r="F26" s="291" t="s">
        <v>352</v>
      </c>
      <c r="G26" s="292"/>
      <c r="H26" s="16"/>
    </row>
    <row r="27" spans="1:8" ht="22.5" customHeight="1">
      <c r="A27" s="289" t="s">
        <v>278</v>
      </c>
      <c r="B27" s="290"/>
      <c r="C27" s="291" t="s">
        <v>351</v>
      </c>
      <c r="D27" s="292"/>
      <c r="E27" s="293"/>
      <c r="F27" s="291" t="s">
        <v>352</v>
      </c>
      <c r="G27" s="292"/>
      <c r="H27" s="16"/>
    </row>
    <row r="28" spans="1:8" ht="22.5" customHeight="1">
      <c r="A28" s="289" t="s">
        <v>278</v>
      </c>
      <c r="B28" s="290"/>
      <c r="C28" s="291" t="s">
        <v>351</v>
      </c>
      <c r="D28" s="292"/>
      <c r="E28" s="293"/>
      <c r="F28" s="291" t="s">
        <v>352</v>
      </c>
      <c r="G28" s="292"/>
      <c r="H28" s="16"/>
    </row>
    <row r="29" spans="1:8" ht="22.5" customHeight="1">
      <c r="A29" s="289" t="s">
        <v>278</v>
      </c>
      <c r="B29" s="290"/>
      <c r="C29" s="291" t="s">
        <v>351</v>
      </c>
      <c r="D29" s="292"/>
      <c r="E29" s="293"/>
      <c r="F29" s="291" t="s">
        <v>352</v>
      </c>
      <c r="G29" s="292"/>
      <c r="H29" s="16"/>
    </row>
    <row r="30" spans="1:8" ht="22.5" customHeight="1">
      <c r="A30" s="289" t="s">
        <v>278</v>
      </c>
      <c r="B30" s="290"/>
      <c r="C30" s="291" t="s">
        <v>351</v>
      </c>
      <c r="D30" s="292"/>
      <c r="E30" s="293"/>
      <c r="F30" s="291" t="s">
        <v>352</v>
      </c>
      <c r="G30" s="292"/>
      <c r="H30" s="16"/>
    </row>
    <row r="31" spans="1:8" ht="22.5" customHeight="1">
      <c r="A31" s="289" t="s">
        <v>278</v>
      </c>
      <c r="B31" s="290"/>
      <c r="C31" s="291" t="s">
        <v>351</v>
      </c>
      <c r="D31" s="292"/>
      <c r="E31" s="293"/>
      <c r="F31" s="291" t="s">
        <v>352</v>
      </c>
      <c r="G31" s="292"/>
      <c r="H31" s="16"/>
    </row>
    <row r="32" spans="1:8" ht="22.5" customHeight="1">
      <c r="A32" s="289" t="s">
        <v>278</v>
      </c>
      <c r="B32" s="290"/>
      <c r="C32" s="291" t="s">
        <v>351</v>
      </c>
      <c r="D32" s="292"/>
      <c r="E32" s="293"/>
      <c r="F32" s="291" t="s">
        <v>352</v>
      </c>
      <c r="G32" s="292"/>
      <c r="H32" s="16"/>
    </row>
    <row r="33" spans="1:8" ht="22.5" customHeight="1">
      <c r="A33" s="289" t="s">
        <v>278</v>
      </c>
      <c r="B33" s="290"/>
      <c r="C33" s="291" t="s">
        <v>351</v>
      </c>
      <c r="D33" s="292"/>
      <c r="E33" s="293"/>
      <c r="F33" s="291" t="s">
        <v>352</v>
      </c>
      <c r="G33" s="292"/>
      <c r="H33" s="16"/>
    </row>
    <row r="34" spans="1:8" ht="22.5" customHeight="1">
      <c r="A34" s="289" t="s">
        <v>278</v>
      </c>
      <c r="B34" s="290"/>
      <c r="C34" s="291" t="s">
        <v>351</v>
      </c>
      <c r="D34" s="292"/>
      <c r="E34" s="293"/>
      <c r="F34" s="291" t="s">
        <v>352</v>
      </c>
      <c r="G34" s="292"/>
      <c r="H34" s="16"/>
    </row>
    <row r="35" spans="1:8" ht="22.5" customHeight="1">
      <c r="A35" s="289" t="s">
        <v>278</v>
      </c>
      <c r="B35" s="290"/>
      <c r="C35" s="291" t="s">
        <v>351</v>
      </c>
      <c r="D35" s="292"/>
      <c r="E35" s="293"/>
      <c r="F35" s="291" t="s">
        <v>352</v>
      </c>
      <c r="G35" s="292"/>
      <c r="H35" s="16"/>
    </row>
    <row r="36" spans="1:8" ht="22.5" customHeight="1">
      <c r="A36" s="289" t="s">
        <v>278</v>
      </c>
      <c r="B36" s="290"/>
      <c r="C36" s="291" t="s">
        <v>351</v>
      </c>
      <c r="D36" s="292"/>
      <c r="E36" s="293"/>
      <c r="F36" s="291" t="s">
        <v>352</v>
      </c>
      <c r="G36" s="292"/>
      <c r="H36" s="16"/>
    </row>
    <row r="37" spans="1:8" ht="22.5" customHeight="1">
      <c r="A37" s="289" t="s">
        <v>278</v>
      </c>
      <c r="B37" s="290"/>
      <c r="C37" s="291" t="s">
        <v>351</v>
      </c>
      <c r="D37" s="292"/>
      <c r="E37" s="293"/>
      <c r="F37" s="291" t="s">
        <v>352</v>
      </c>
      <c r="G37" s="292"/>
      <c r="H37" s="16"/>
    </row>
    <row r="38" spans="1:8" ht="22.5" customHeight="1">
      <c r="A38" s="289" t="s">
        <v>278</v>
      </c>
      <c r="B38" s="290"/>
      <c r="C38" s="291" t="s">
        <v>351</v>
      </c>
      <c r="D38" s="292"/>
      <c r="E38" s="293"/>
      <c r="F38" s="291" t="s">
        <v>352</v>
      </c>
      <c r="G38" s="292"/>
      <c r="H38" s="16"/>
    </row>
    <row r="39" spans="1:8" ht="22.5" customHeight="1">
      <c r="A39" s="289" t="s">
        <v>278</v>
      </c>
      <c r="B39" s="290"/>
      <c r="C39" s="291" t="s">
        <v>351</v>
      </c>
      <c r="D39" s="292"/>
      <c r="E39" s="293"/>
      <c r="F39" s="291" t="s">
        <v>352</v>
      </c>
      <c r="G39" s="292"/>
      <c r="H39" s="16"/>
    </row>
    <row r="40" spans="1:8" ht="22.5" customHeight="1">
      <c r="A40" s="289" t="s">
        <v>278</v>
      </c>
      <c r="B40" s="290"/>
      <c r="C40" s="291" t="s">
        <v>351</v>
      </c>
      <c r="D40" s="292"/>
      <c r="E40" s="293"/>
      <c r="F40" s="291" t="s">
        <v>352</v>
      </c>
      <c r="G40" s="292"/>
      <c r="H40" s="16"/>
    </row>
    <row r="41" spans="1:8" ht="22.5" customHeight="1">
      <c r="A41" s="289" t="s">
        <v>278</v>
      </c>
      <c r="B41" s="290"/>
      <c r="C41" s="291" t="s">
        <v>351</v>
      </c>
      <c r="D41" s="292"/>
      <c r="E41" s="293"/>
      <c r="F41" s="291" t="s">
        <v>352</v>
      </c>
      <c r="G41" s="292"/>
      <c r="H41" s="16"/>
    </row>
    <row r="42" spans="1:8" ht="22.5" customHeight="1">
      <c r="A42" s="289" t="s">
        <v>278</v>
      </c>
      <c r="B42" s="290"/>
      <c r="C42" s="291" t="s">
        <v>351</v>
      </c>
      <c r="D42" s="292"/>
      <c r="E42" s="293"/>
      <c r="F42" s="291" t="s">
        <v>352</v>
      </c>
      <c r="G42" s="292"/>
      <c r="H42" s="16"/>
    </row>
    <row r="43" spans="1:8" ht="22.5" customHeight="1">
      <c r="A43" s="289" t="s">
        <v>278</v>
      </c>
      <c r="B43" s="290"/>
      <c r="C43" s="291" t="s">
        <v>351</v>
      </c>
      <c r="D43" s="292"/>
      <c r="E43" s="293"/>
      <c r="F43" s="291" t="s">
        <v>352</v>
      </c>
      <c r="G43" s="292"/>
      <c r="H43" s="16"/>
    </row>
    <row r="44" spans="1:8" ht="22.5" customHeight="1">
      <c r="A44" s="289" t="s">
        <v>278</v>
      </c>
      <c r="B44" s="290"/>
      <c r="C44" s="291" t="s">
        <v>351</v>
      </c>
      <c r="D44" s="292"/>
      <c r="E44" s="293"/>
      <c r="F44" s="291" t="s">
        <v>352</v>
      </c>
      <c r="G44" s="292"/>
      <c r="H44" s="16"/>
    </row>
    <row r="45" spans="1:8" ht="22.5" customHeight="1">
      <c r="A45" s="289" t="s">
        <v>278</v>
      </c>
      <c r="B45" s="290"/>
      <c r="C45" s="291" t="s">
        <v>351</v>
      </c>
      <c r="D45" s="292"/>
      <c r="E45" s="293"/>
      <c r="F45" s="291" t="s">
        <v>352</v>
      </c>
      <c r="G45" s="292"/>
      <c r="H45" s="16"/>
    </row>
    <row r="46" spans="1:8" ht="22.5" customHeight="1">
      <c r="A46" s="289" t="s">
        <v>278</v>
      </c>
      <c r="B46" s="290"/>
      <c r="C46" s="291" t="s">
        <v>351</v>
      </c>
      <c r="D46" s="292"/>
      <c r="E46" s="293"/>
      <c r="F46" s="291" t="s">
        <v>352</v>
      </c>
      <c r="G46" s="292"/>
      <c r="H46" s="16"/>
    </row>
    <row r="47" spans="1:8" ht="22.5" customHeight="1">
      <c r="A47" s="289" t="s">
        <v>278</v>
      </c>
      <c r="B47" s="290"/>
      <c r="C47" s="291" t="s">
        <v>351</v>
      </c>
      <c r="D47" s="292"/>
      <c r="E47" s="293"/>
      <c r="F47" s="291" t="s">
        <v>352</v>
      </c>
      <c r="G47" s="292"/>
      <c r="H47" s="16"/>
    </row>
    <row r="48" spans="1:8" ht="22.5" customHeight="1">
      <c r="A48" s="289" t="s">
        <v>278</v>
      </c>
      <c r="B48" s="290"/>
      <c r="C48" s="291" t="s">
        <v>351</v>
      </c>
      <c r="D48" s="292"/>
      <c r="E48" s="293"/>
      <c r="F48" s="291" t="s">
        <v>352</v>
      </c>
      <c r="G48" s="292"/>
      <c r="H48" s="16"/>
    </row>
    <row r="49" spans="1:8" ht="22.5" customHeight="1">
      <c r="A49" s="289" t="s">
        <v>278</v>
      </c>
      <c r="B49" s="290"/>
      <c r="C49" s="291" t="s">
        <v>351</v>
      </c>
      <c r="D49" s="292"/>
      <c r="E49" s="293"/>
      <c r="F49" s="291" t="s">
        <v>352</v>
      </c>
      <c r="G49" s="292"/>
      <c r="H49" s="16"/>
    </row>
    <row r="50" spans="1:8" ht="22.5" customHeight="1">
      <c r="A50" s="289" t="s">
        <v>278</v>
      </c>
      <c r="B50" s="290"/>
      <c r="C50" s="291" t="s">
        <v>351</v>
      </c>
      <c r="D50" s="292"/>
      <c r="E50" s="293"/>
      <c r="F50" s="291" t="s">
        <v>352</v>
      </c>
      <c r="G50" s="292"/>
      <c r="H50" s="16"/>
    </row>
    <row r="51" spans="1:8">
      <c r="A51" s="16"/>
      <c r="B51" s="16"/>
      <c r="C51" s="16"/>
      <c r="D51" s="16"/>
      <c r="E51" s="16"/>
      <c r="F51" s="16"/>
      <c r="G51" s="16"/>
      <c r="H51" s="16"/>
    </row>
  </sheetData>
  <sheetProtection formatRows="0"/>
  <mergeCells count="1">
    <mergeCell ref="A8:F9"/>
  </mergeCells>
  <phoneticPr fontId="31" type="noConversion"/>
  <pageMargins left="0.78740157480314965" right="0.55118110236220474" top="0.51181102362204722" bottom="0.74803149606299213" header="0.31496062992125984" footer="0.31496062992125984"/>
  <pageSetup paperSize="9" orientation="portrait" r:id="rId1"/>
  <headerFooter>
    <oddFooter>&amp;C&amp;7page &amp;P+11&amp;R&amp;6
ALL RIGHTS RESERVED © COPYRIGHT</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pageSetUpPr fitToPage="1"/>
  </sheetPr>
  <dimension ref="A1:X38"/>
  <sheetViews>
    <sheetView zoomScale="70" zoomScaleNormal="70" zoomScalePageLayoutView="55" workbookViewId="0">
      <selection activeCell="J14" sqref="J14"/>
    </sheetView>
  </sheetViews>
  <sheetFormatPr defaultColWidth="9.140625" defaultRowHeight="12.75"/>
  <cols>
    <col min="1" max="1" width="37.140625" style="2" customWidth="1"/>
    <col min="2" max="7" width="15.7109375" style="2" customWidth="1"/>
    <col min="8" max="8" width="23.42578125" style="2" customWidth="1"/>
    <col min="9" max="9" width="18" style="2" customWidth="1"/>
    <col min="10" max="10" width="13.85546875" style="2" customWidth="1"/>
    <col min="11" max="11" width="15.5703125" style="2" customWidth="1"/>
    <col min="12" max="12" width="13.5703125" style="2" customWidth="1"/>
    <col min="13" max="13" width="14.5703125" style="2" customWidth="1"/>
    <col min="14" max="14" width="13.140625" style="2" customWidth="1"/>
    <col min="15" max="15" width="15" style="2" customWidth="1"/>
    <col min="16" max="16" width="12.7109375" style="2" customWidth="1"/>
    <col min="17" max="17" width="18.140625" style="2" bestFit="1" customWidth="1"/>
    <col min="18" max="18" width="25.85546875" style="258" bestFit="1" customWidth="1"/>
    <col min="19" max="19" width="25.28515625" style="2" bestFit="1" customWidth="1"/>
    <col min="20" max="23" width="12.5703125" style="2" customWidth="1"/>
    <col min="24" max="24" width="14.85546875" style="2" bestFit="1" customWidth="1"/>
    <col min="25" max="16384" width="9.140625" style="2"/>
  </cols>
  <sheetData>
    <row r="1" spans="1:24" ht="39.75" customHeight="1">
      <c r="A1" s="1" t="s">
        <v>124</v>
      </c>
    </row>
    <row r="2" spans="1:24" ht="14.25">
      <c r="A2" s="41" t="s">
        <v>576</v>
      </c>
    </row>
    <row r="3" spans="1:24" ht="24" thickBot="1">
      <c r="A3" s="42" t="s">
        <v>575</v>
      </c>
    </row>
    <row r="4" spans="1:24" ht="20.25" thickTop="1" thickBot="1">
      <c r="Q4" s="259" t="s">
        <v>445</v>
      </c>
    </row>
    <row r="5" spans="1:24" ht="58.5" customHeight="1" thickBot="1">
      <c r="A5" s="32" t="s">
        <v>105</v>
      </c>
      <c r="B5" s="33" t="s">
        <v>106</v>
      </c>
      <c r="C5" s="33" t="s">
        <v>362</v>
      </c>
      <c r="D5" s="33" t="s">
        <v>365</v>
      </c>
      <c r="E5" s="34" t="s">
        <v>107</v>
      </c>
      <c r="F5" s="34" t="s">
        <v>108</v>
      </c>
      <c r="G5" s="34" t="s">
        <v>109</v>
      </c>
      <c r="H5" s="35" t="s">
        <v>110</v>
      </c>
      <c r="J5" s="683" t="str">
        <f>IF('EU Comment'!Z2&lt;&gt;'IEQ Comment'!Z2,"Please ensure the area in EU and IEQ are the same.","-")</f>
        <v>-</v>
      </c>
      <c r="K5" s="683"/>
      <c r="L5" s="683"/>
      <c r="M5" s="683"/>
      <c r="Q5" s="260"/>
      <c r="R5" s="261"/>
      <c r="S5" s="262" t="s">
        <v>114</v>
      </c>
      <c r="T5" s="262" t="s">
        <v>115</v>
      </c>
      <c r="U5" s="262" t="s">
        <v>116</v>
      </c>
      <c r="V5" s="262" t="s">
        <v>117</v>
      </c>
      <c r="W5" s="285" t="s">
        <v>417</v>
      </c>
      <c r="X5" s="263"/>
    </row>
    <row r="6" spans="1:24" ht="20.100000000000001" customHeight="1">
      <c r="A6" s="20" t="s">
        <v>171</v>
      </c>
      <c r="B6" s="37">
        <f>'SA Comment'!E129</f>
        <v>0</v>
      </c>
      <c r="C6" s="37">
        <f>'SA Comment'!E130</f>
        <v>0</v>
      </c>
      <c r="D6" s="37">
        <f>IF((B6-C6)&gt;0,(B6-C6), 0)</f>
        <v>0</v>
      </c>
      <c r="E6" s="21" t="str">
        <f>IF(B6&gt;0,IF(C6&gt;0,(C6/B6),"n/a"),"n/a")</f>
        <v>n/a</v>
      </c>
      <c r="F6" s="21">
        <v>0.25</v>
      </c>
      <c r="G6" s="684" t="str">
        <f>IF(E6&lt;&gt;"n/a",ROUND(E6*F6*100,1),"n/a")</f>
        <v>n/a</v>
      </c>
      <c r="H6" s="38" t="str">
        <f>IF(S15="YES",R30,"Cannot be Assessed")</f>
        <v>Cannot be Assessed</v>
      </c>
      <c r="I6" s="43"/>
      <c r="J6" s="43"/>
      <c r="K6" s="43"/>
      <c r="L6" s="43"/>
      <c r="M6" s="43"/>
      <c r="N6" s="43"/>
      <c r="O6" s="43"/>
      <c r="P6" s="43"/>
      <c r="Q6" s="264">
        <v>5</v>
      </c>
      <c r="R6" s="265" t="s">
        <v>123</v>
      </c>
      <c r="S6" s="266">
        <v>75</v>
      </c>
      <c r="T6" s="266">
        <v>70</v>
      </c>
      <c r="U6" s="266">
        <v>70</v>
      </c>
      <c r="V6" s="266">
        <v>70</v>
      </c>
      <c r="W6" s="286">
        <v>3</v>
      </c>
      <c r="X6" s="267" t="s">
        <v>446</v>
      </c>
    </row>
    <row r="7" spans="1:24" ht="20.100000000000001" customHeight="1">
      <c r="A7" s="22" t="s">
        <v>214</v>
      </c>
      <c r="B7" s="23">
        <f>'MA Comment'!E118</f>
        <v>0</v>
      </c>
      <c r="C7" s="23">
        <f>'MA Comment'!E119</f>
        <v>0</v>
      </c>
      <c r="D7" s="23">
        <f>IF((B7-C7)&gt;0,(B7-C7), 0)</f>
        <v>0</v>
      </c>
      <c r="E7" s="24" t="str">
        <f>IF(B7&gt;0,IF(C7&gt;0,(C7/B7),"n/a"),"n/a")</f>
        <v>n/a</v>
      </c>
      <c r="F7" s="24">
        <v>0.08</v>
      </c>
      <c r="G7" s="25" t="str">
        <f>IF(E7&lt;&gt;"n/a",ROUND(E7*F7*100,1),"n/a")</f>
        <v>n/a</v>
      </c>
      <c r="H7" s="38" t="str">
        <f>IF(AND(S16="Yes",S17="Yes",S18="Yes",S19="Yes"),"","Cannot be Assessed")</f>
        <v>Cannot be Assessed</v>
      </c>
      <c r="I7" s="43"/>
      <c r="J7" s="43"/>
      <c r="K7" s="43"/>
      <c r="L7" s="43"/>
      <c r="M7" s="43"/>
      <c r="N7" s="43"/>
      <c r="O7" s="43"/>
      <c r="P7" s="43"/>
      <c r="Q7" s="264">
        <v>4</v>
      </c>
      <c r="R7" s="265" t="s">
        <v>122</v>
      </c>
      <c r="S7" s="266">
        <v>65</v>
      </c>
      <c r="T7" s="266">
        <v>60</v>
      </c>
      <c r="U7" s="266">
        <v>60</v>
      </c>
      <c r="V7" s="266">
        <v>60</v>
      </c>
      <c r="W7" s="286">
        <v>2</v>
      </c>
      <c r="X7" s="267" t="s">
        <v>447</v>
      </c>
    </row>
    <row r="8" spans="1:24" ht="20.100000000000001" customHeight="1">
      <c r="A8" s="22" t="s">
        <v>111</v>
      </c>
      <c r="B8" s="23" t="e">
        <f>EU_Chart!G15</f>
        <v>#DIV/0!</v>
      </c>
      <c r="C8" s="23" t="e">
        <f>EU_Chart!H15</f>
        <v>#DIV/0!</v>
      </c>
      <c r="D8" s="23" t="e">
        <f>IF((B8-C8)&gt;0,(B8-C8), 0)</f>
        <v>#DIV/0!</v>
      </c>
      <c r="E8" s="24" t="e">
        <f>IF(B8&gt;0,IF(C8&gt;0,(C8/B8),"n/a"),"n/a")</f>
        <v>#DIV/0!</v>
      </c>
      <c r="F8" s="24">
        <v>0.35</v>
      </c>
      <c r="G8" s="25" t="e">
        <f>IF(E8&lt;&gt;"n/a",ROUND(E8*F8*100,1),"n/a")</f>
        <v>#DIV/0!</v>
      </c>
      <c r="H8" s="38" t="str">
        <f>IF(S20="Yes",R32,"Cannot be Assessed")</f>
        <v>Cannot be Assessed</v>
      </c>
      <c r="I8" s="43"/>
      <c r="J8" s="43"/>
      <c r="K8" s="43"/>
      <c r="L8" s="43"/>
      <c r="M8" s="43"/>
      <c r="N8" s="43"/>
      <c r="O8" s="43"/>
      <c r="P8" s="43"/>
      <c r="Q8" s="264">
        <v>3</v>
      </c>
      <c r="R8" s="265" t="s">
        <v>121</v>
      </c>
      <c r="S8" s="266">
        <v>55</v>
      </c>
      <c r="T8" s="266">
        <v>50</v>
      </c>
      <c r="U8" s="266">
        <v>50</v>
      </c>
      <c r="V8" s="266">
        <v>50</v>
      </c>
      <c r="W8" s="286">
        <v>1</v>
      </c>
      <c r="X8" s="267" t="s">
        <v>448</v>
      </c>
    </row>
    <row r="9" spans="1:24" ht="20.100000000000001" customHeight="1">
      <c r="A9" s="22" t="s">
        <v>112</v>
      </c>
      <c r="B9" s="23">
        <f>'WU Comment'!E61</f>
        <v>0</v>
      </c>
      <c r="C9" s="23">
        <f>'WU Comment'!E62</f>
        <v>0</v>
      </c>
      <c r="D9" s="23">
        <f>IF((B9-C9)&gt;0,(B9-C9), 0)</f>
        <v>0</v>
      </c>
      <c r="E9" s="24" t="str">
        <f>IF(B9&gt;0,IF(C9&gt;0,(C9/B9),"n/a"),"n/a")</f>
        <v>n/a</v>
      </c>
      <c r="F9" s="24">
        <v>0.12</v>
      </c>
      <c r="G9" s="25" t="str">
        <f>IF(E9&lt;&gt;"n/a",ROUND(E9*F9*100,1),"n/a")</f>
        <v>n/a</v>
      </c>
      <c r="H9" s="38" t="str">
        <f>IF(AND(S21="Yes",S22="Yes"),"","Cannot be Assessed")</f>
        <v>Cannot be Assessed</v>
      </c>
      <c r="I9" s="43"/>
      <c r="J9" s="43"/>
      <c r="K9" s="43"/>
      <c r="L9" s="43"/>
      <c r="M9" s="43"/>
      <c r="N9" s="43"/>
      <c r="O9" s="43"/>
      <c r="P9" s="43"/>
      <c r="Q9" s="264">
        <v>2</v>
      </c>
      <c r="R9" s="265" t="s">
        <v>120</v>
      </c>
      <c r="S9" s="266">
        <v>40</v>
      </c>
      <c r="T9" s="266">
        <v>40</v>
      </c>
      <c r="U9" s="266">
        <v>40</v>
      </c>
      <c r="V9" s="266">
        <v>40</v>
      </c>
      <c r="W9" s="286"/>
      <c r="X9" s="267" t="s">
        <v>449</v>
      </c>
    </row>
    <row r="10" spans="1:24" ht="20.100000000000001" customHeight="1">
      <c r="A10" s="22" t="s">
        <v>113</v>
      </c>
      <c r="B10" s="23" t="e">
        <f>IEQ_Chart!G15</f>
        <v>#DIV/0!</v>
      </c>
      <c r="C10" s="23" t="e">
        <f>IEQ_Chart!H15</f>
        <v>#DIV/0!</v>
      </c>
      <c r="D10" s="23" t="e">
        <f>IF((B10-C10)&gt;0,(B10-C10), 0)</f>
        <v>#DIV/0!</v>
      </c>
      <c r="E10" s="24" t="e">
        <f>IF(B10&gt;0,IF(C10&gt;0,(C10/B10),"n/a"),"n/a")</f>
        <v>#DIV/0!</v>
      </c>
      <c r="F10" s="24">
        <v>0.2</v>
      </c>
      <c r="G10" s="25" t="e">
        <f>IF(E10&lt;&gt;"n/a",ROUND(E10*F10*100,1),"n/a")</f>
        <v>#DIV/0!</v>
      </c>
      <c r="H10" s="38" t="str">
        <f>IF(S23="Yes",R34,"Cannot be Assessed")</f>
        <v>Cannot be Assessed</v>
      </c>
      <c r="I10" s="43"/>
      <c r="J10" s="43"/>
      <c r="K10" s="43"/>
      <c r="L10" s="43"/>
      <c r="M10" s="43"/>
      <c r="N10" s="43"/>
      <c r="O10" s="43"/>
      <c r="P10" s="43"/>
      <c r="Q10" s="264">
        <v>1</v>
      </c>
      <c r="R10" s="265" t="s">
        <v>450</v>
      </c>
      <c r="S10" s="268"/>
      <c r="T10" s="268"/>
      <c r="U10" s="268"/>
      <c r="V10" s="268"/>
      <c r="W10" s="287"/>
      <c r="X10" s="267"/>
    </row>
    <row r="11" spans="1:24" ht="20.100000000000001" customHeight="1" thickBot="1">
      <c r="A11" s="26" t="s">
        <v>596</v>
      </c>
      <c r="B11" s="39" t="s">
        <v>334</v>
      </c>
      <c r="C11" s="39">
        <f>'IA Comment'!E66</f>
        <v>0</v>
      </c>
      <c r="D11" s="396" t="s">
        <v>363</v>
      </c>
      <c r="E11" s="397" t="s">
        <v>359</v>
      </c>
      <c r="F11" s="27">
        <v>1</v>
      </c>
      <c r="G11" s="28">
        <f>C11</f>
        <v>0</v>
      </c>
      <c r="H11" s="40" t="str">
        <f>VLOOKUP(S35,$Q$6:$R$11,2,FALSE)</f>
        <v>Bronze</v>
      </c>
      <c r="I11" s="43"/>
      <c r="J11" s="43"/>
      <c r="K11" s="43"/>
      <c r="L11" s="43"/>
      <c r="M11" s="43"/>
      <c r="N11" s="43"/>
      <c r="O11" s="43"/>
      <c r="P11" s="43"/>
      <c r="Q11" s="269">
        <v>0</v>
      </c>
      <c r="R11" s="270" t="s">
        <v>451</v>
      </c>
      <c r="S11" s="271"/>
      <c r="T11" s="271"/>
      <c r="U11" s="271"/>
      <c r="V11" s="271"/>
      <c r="W11" s="288"/>
      <c r="X11" s="272"/>
    </row>
    <row r="12" spans="1:24" ht="36.75" customHeight="1" thickBot="1">
      <c r="A12" s="29" t="s">
        <v>360</v>
      </c>
      <c r="B12" s="30"/>
      <c r="C12" s="30"/>
      <c r="D12" s="30"/>
      <c r="E12" s="30"/>
      <c r="F12" s="107" t="s">
        <v>361</v>
      </c>
      <c r="G12" s="31" t="e">
        <f>SUM(G6:G11)</f>
        <v>#DIV/0!</v>
      </c>
      <c r="H12" s="36" t="e">
        <f>VLOOKUP(S38,$Q$6:$R$11,2,FALSE)</f>
        <v>#DIV/0!</v>
      </c>
      <c r="I12" s="44"/>
      <c r="J12" s="44"/>
      <c r="K12" s="44"/>
      <c r="L12" s="44"/>
      <c r="M12" s="44"/>
      <c r="N12" s="44"/>
      <c r="O12" s="44"/>
      <c r="P12" s="44"/>
      <c r="R12" s="273"/>
    </row>
    <row r="13" spans="1:24" ht="36.75" customHeight="1" thickBot="1">
      <c r="A13" s="3" t="s">
        <v>2</v>
      </c>
      <c r="F13" s="2" t="s">
        <v>2</v>
      </c>
      <c r="R13" s="259" t="s">
        <v>452</v>
      </c>
    </row>
    <row r="14" spans="1:24" ht="18.75">
      <c r="A14" s="3"/>
      <c r="R14" s="274" t="s">
        <v>453</v>
      </c>
      <c r="S14" s="275" t="s">
        <v>454</v>
      </c>
    </row>
    <row r="15" spans="1:24" ht="24" thickBot="1">
      <c r="A15" s="42" t="s">
        <v>364</v>
      </c>
      <c r="R15" s="264" t="s">
        <v>174</v>
      </c>
      <c r="S15" s="276" t="str">
        <f>IF(OR('SA Comment'!H8="PR",'SA Comment'!H8="NA"),"Yes","No")</f>
        <v>No</v>
      </c>
    </row>
    <row r="16" spans="1:24" ht="15.75" customHeight="1" thickTop="1">
      <c r="A16" s="1" t="s">
        <v>359</v>
      </c>
      <c r="B16" s="4">
        <v>0</v>
      </c>
      <c r="C16" s="4">
        <v>2</v>
      </c>
      <c r="D16" s="4"/>
      <c r="R16" s="264" t="s">
        <v>68</v>
      </c>
      <c r="S16" s="276" t="str">
        <f>IF(OR('MA Comment'!H8="PR",'MA Comment'!H8="NA"),"Yes","No")</f>
        <v>No</v>
      </c>
    </row>
    <row r="17" spans="1:19" ht="18.75">
      <c r="A17" s="257" t="s">
        <v>444</v>
      </c>
      <c r="B17" s="4"/>
      <c r="C17" s="4"/>
      <c r="D17" s="4"/>
      <c r="R17" s="264" t="s">
        <v>69</v>
      </c>
      <c r="S17" s="276" t="str">
        <f>IF(OR('MA Comment'!H13="PR",'MA Comment'!H13="NA"),"Yes","No")</f>
        <v>No</v>
      </c>
    </row>
    <row r="18" spans="1:19" ht="18.75">
      <c r="A18" s="5"/>
      <c r="B18" s="5" t="s">
        <v>114</v>
      </c>
      <c r="C18" s="5" t="s">
        <v>114</v>
      </c>
      <c r="D18" s="5" t="s">
        <v>115</v>
      </c>
      <c r="E18" s="5" t="s">
        <v>115</v>
      </c>
      <c r="F18" s="5" t="s">
        <v>116</v>
      </c>
      <c r="G18" s="5" t="s">
        <v>116</v>
      </c>
      <c r="H18" s="5" t="s">
        <v>117</v>
      </c>
      <c r="I18" s="5" t="s">
        <v>117</v>
      </c>
      <c r="J18" s="5" t="s">
        <v>118</v>
      </c>
      <c r="K18" s="5" t="s">
        <v>118</v>
      </c>
      <c r="L18" s="5" t="s">
        <v>119</v>
      </c>
      <c r="M18" s="5" t="s">
        <v>119</v>
      </c>
      <c r="R18" s="264" t="s">
        <v>70</v>
      </c>
      <c r="S18" s="276" t="str">
        <f>IF(OR('MA Comment'!H18="PR",'MA Comment'!H18="NA"),"Yes","No")</f>
        <v>No</v>
      </c>
    </row>
    <row r="19" spans="1:19" ht="18.75">
      <c r="A19" s="5" t="s">
        <v>120</v>
      </c>
      <c r="B19" s="5">
        <v>40</v>
      </c>
      <c r="C19" s="5">
        <f>B19</f>
        <v>40</v>
      </c>
      <c r="D19" s="5">
        <f>B6*0.4</f>
        <v>0</v>
      </c>
      <c r="E19" s="5">
        <f>D19</f>
        <v>0</v>
      </c>
      <c r="F19" s="5" t="e">
        <f>B8*0.4</f>
        <v>#DIV/0!</v>
      </c>
      <c r="G19" s="5" t="e">
        <f>F19</f>
        <v>#DIV/0!</v>
      </c>
      <c r="H19" s="5" t="e">
        <f>B10*0.4</f>
        <v>#DIV/0!</v>
      </c>
      <c r="I19" s="5" t="e">
        <f>H19</f>
        <v>#DIV/0!</v>
      </c>
      <c r="J19" s="5">
        <f>B9*0.4</f>
        <v>0</v>
      </c>
      <c r="K19" s="5">
        <f>J19</f>
        <v>0</v>
      </c>
      <c r="L19" s="5">
        <f>B7*0.4</f>
        <v>0</v>
      </c>
      <c r="M19" s="5">
        <f>L19</f>
        <v>0</v>
      </c>
      <c r="R19" s="264" t="s">
        <v>71</v>
      </c>
      <c r="S19" s="276" t="str">
        <f>IF(OR('MA Comment'!H23="PR",'MA Comment'!H23="NA"),"Yes","No")</f>
        <v>No</v>
      </c>
    </row>
    <row r="20" spans="1:19" ht="18.75">
      <c r="A20" s="5" t="s">
        <v>121</v>
      </c>
      <c r="B20" s="5">
        <v>55</v>
      </c>
      <c r="C20" s="5">
        <f>B20</f>
        <v>55</v>
      </c>
      <c r="D20" s="5">
        <f>B6*0.5</f>
        <v>0</v>
      </c>
      <c r="E20" s="5">
        <f>D20</f>
        <v>0</v>
      </c>
      <c r="F20" s="5" t="e">
        <f>B8*0.5</f>
        <v>#DIV/0!</v>
      </c>
      <c r="G20" s="5" t="e">
        <f>F20</f>
        <v>#DIV/0!</v>
      </c>
      <c r="H20" s="5" t="e">
        <f>B10*0.5</f>
        <v>#DIV/0!</v>
      </c>
      <c r="I20" s="5" t="e">
        <f>H20</f>
        <v>#DIV/0!</v>
      </c>
      <c r="J20" s="5">
        <f>B9*0.5</f>
        <v>0</v>
      </c>
      <c r="K20" s="5">
        <f>J20</f>
        <v>0</v>
      </c>
      <c r="L20" s="5">
        <f>B7*0.5</f>
        <v>0</v>
      </c>
      <c r="M20" s="5">
        <f>L20</f>
        <v>0</v>
      </c>
      <c r="R20" s="264" t="s">
        <v>85</v>
      </c>
      <c r="S20" s="276" t="str">
        <f>IF(OR('EU Comment'!Q10="PR",'EU Comment'!Q10="NA"),"Yes","No")</f>
        <v>No</v>
      </c>
    </row>
    <row r="21" spans="1:19" ht="18.75">
      <c r="A21" s="5" t="s">
        <v>122</v>
      </c>
      <c r="B21" s="5">
        <v>65</v>
      </c>
      <c r="C21" s="5">
        <f>B21</f>
        <v>65</v>
      </c>
      <c r="D21" s="5">
        <f>B6*0.6</f>
        <v>0</v>
      </c>
      <c r="E21" s="5">
        <f>D21</f>
        <v>0</v>
      </c>
      <c r="F21" s="5" t="e">
        <f>B8*0.6</f>
        <v>#DIV/0!</v>
      </c>
      <c r="G21" s="5" t="e">
        <f>F21</f>
        <v>#DIV/0!</v>
      </c>
      <c r="H21" s="5" t="e">
        <f>B10*0.6</f>
        <v>#DIV/0!</v>
      </c>
      <c r="I21" s="5" t="e">
        <f>H21</f>
        <v>#DIV/0!</v>
      </c>
      <c r="J21" s="5">
        <f>B9*0.6</f>
        <v>0</v>
      </c>
      <c r="K21" s="5">
        <f>J21</f>
        <v>0</v>
      </c>
      <c r="L21" s="5">
        <f>B7*0.6</f>
        <v>0</v>
      </c>
      <c r="M21" s="5">
        <f>L21</f>
        <v>0</v>
      </c>
      <c r="R21" s="264" t="s">
        <v>42</v>
      </c>
      <c r="S21" s="276" t="str">
        <f>IF(OR('WU Comment'!H8="PR",'WU Comment'!H8="NA"),"Yes","No")</f>
        <v>No</v>
      </c>
    </row>
    <row r="22" spans="1:19" ht="18.75">
      <c r="A22" s="5" t="s">
        <v>123</v>
      </c>
      <c r="B22" s="5">
        <v>75</v>
      </c>
      <c r="C22" s="5">
        <f>B22</f>
        <v>75</v>
      </c>
      <c r="D22" s="5">
        <f>B6*0.7</f>
        <v>0</v>
      </c>
      <c r="E22" s="5">
        <f>D22</f>
        <v>0</v>
      </c>
      <c r="F22" s="5" t="e">
        <f>B8*0.7</f>
        <v>#DIV/0!</v>
      </c>
      <c r="G22" s="5" t="e">
        <f>F22</f>
        <v>#DIV/0!</v>
      </c>
      <c r="H22" s="5" t="e">
        <f>B10*0.7</f>
        <v>#DIV/0!</v>
      </c>
      <c r="I22" s="5" t="e">
        <f>H22</f>
        <v>#DIV/0!</v>
      </c>
      <c r="J22" s="5">
        <f>B9*0.7</f>
        <v>0</v>
      </c>
      <c r="K22" s="5">
        <f>J22</f>
        <v>0</v>
      </c>
      <c r="L22" s="5">
        <f>B7*0.7</f>
        <v>0</v>
      </c>
      <c r="M22" s="5">
        <f>L22</f>
        <v>0</v>
      </c>
      <c r="R22" s="264" t="s">
        <v>43</v>
      </c>
      <c r="S22" s="276" t="str">
        <f>IF(OR('WU Comment'!H13="PR",'WU Comment'!H13="NA"),"Yes","No")</f>
        <v>No</v>
      </c>
    </row>
    <row r="23" spans="1:19" ht="18.75">
      <c r="R23" s="264" t="s">
        <v>126</v>
      </c>
      <c r="S23" s="276" t="str">
        <f>IF(OR('IEQ Comment'!Q10="PR",'IEQ Comment'!Q10="NA"),"Yes","No")</f>
        <v>No</v>
      </c>
    </row>
    <row r="24" spans="1:19" ht="19.5" thickBot="1">
      <c r="R24" s="277" t="s">
        <v>455</v>
      </c>
      <c r="S24" s="278" t="str">
        <f>IF(AND(S15="Yes",S16="Yes",S17="Yes",S18="Yes",S19="Yes",S20="Yes",S21="Yes",S22="Yes",S23="Yes"),"Yes","No")</f>
        <v>No</v>
      </c>
    </row>
    <row r="25" spans="1:19" ht="15">
      <c r="A25" s="80" t="str">
        <f>"Credits Achieved in the " &amp; 'Project Summary'!C9</f>
        <v>Credits Achieved in the Provisional Assessment</v>
      </c>
      <c r="R25" s="2"/>
    </row>
    <row r="26" spans="1:19" ht="23.25">
      <c r="A26" s="1"/>
      <c r="R26" s="2"/>
    </row>
    <row r="27" spans="1:19">
      <c r="R27" s="2"/>
    </row>
    <row r="28" spans="1:19">
      <c r="R28" s="2"/>
    </row>
    <row r="29" spans="1:19" ht="19.5" thickBot="1">
      <c r="Q29" s="259" t="s">
        <v>456</v>
      </c>
    </row>
    <row r="30" spans="1:19" ht="18.75">
      <c r="Q30" s="279" t="s">
        <v>115</v>
      </c>
      <c r="R30" s="262" t="str">
        <f>IF(E6="n/a","n/a",IF(E6&gt;=0.7,"Platinum",IF(E6&gt;=0.6,"Gold",IF(E6&gt;=0.5,"Silver",IF(E6&gt;=0.4,"Bronze","Unclassified")))))</f>
        <v>n/a</v>
      </c>
      <c r="S30" s="275">
        <f>IF(R30="Platinum",5,IF(R30="Gold",4,IF(R30="Silver",3,IF(R30="Bronze",2,1))))</f>
        <v>1</v>
      </c>
    </row>
    <row r="31" spans="1:19" ht="18.75">
      <c r="Q31" s="280" t="s">
        <v>119</v>
      </c>
      <c r="R31" s="266"/>
      <c r="S31" s="267"/>
    </row>
    <row r="32" spans="1:19" ht="18.75">
      <c r="Q32" s="280" t="s">
        <v>116</v>
      </c>
      <c r="R32" s="266" t="e">
        <f>IF(E8="n/a","n/a",IF(E8&gt;=0.7,"Platinum",IF(E8&gt;=0.6,"Gold",IF(E8&gt;=0.5,"Silver",IF(E8&gt;=0.4,"Bronze","Unclassified")))))</f>
        <v>#DIV/0!</v>
      </c>
      <c r="S32" s="267" t="e">
        <f>IF(R32="Platinum",5,IF(R32="Gold",4,IF(R32="Silver",3,IF(R32="Bronze",2,1))))</f>
        <v>#DIV/0!</v>
      </c>
    </row>
    <row r="33" spans="17:19" ht="18.75">
      <c r="Q33" s="280" t="s">
        <v>118</v>
      </c>
      <c r="R33" s="266"/>
      <c r="S33" s="267"/>
    </row>
    <row r="34" spans="17:19" ht="18.75">
      <c r="Q34" s="280" t="s">
        <v>117</v>
      </c>
      <c r="R34" s="266" t="e">
        <f>IF(E10="n/a","n/a",IF(E10&gt;=0.7,"Platinum",IF(E10&gt;=0.6,"Gold",IF(E10&gt;=0.5,"Silver",IF(E10&gt;=0.4,"Bronze","Unclassified")))))</f>
        <v>#DIV/0!</v>
      </c>
      <c r="S34" s="267" t="e">
        <f>IF(R34="Platinum",5,IF(R34="Gold",4,IF(R34="Silver",3,IF(R34="Bronze",2,1))))</f>
        <v>#DIV/0!</v>
      </c>
    </row>
    <row r="35" spans="17:19" ht="18.75">
      <c r="Q35" s="280" t="s">
        <v>417</v>
      </c>
      <c r="R35" s="266" t="str">
        <f>IF(G11="n/a","n/a",IF(G11&gt;=3,"Platinum",IF(G11=2,"Gold",IF(G11=1,"Silver",IF(G11=0,"Bronze","")))))</f>
        <v>Bronze</v>
      </c>
      <c r="S35" s="267">
        <f>IF(R35="Platinum",5,IF(R35="Gold",4,IF(R35="Silver",3,IF(R35="Bronze",2,1))))</f>
        <v>2</v>
      </c>
    </row>
    <row r="36" spans="17:19" ht="18.75">
      <c r="Q36" s="282" t="s">
        <v>457</v>
      </c>
      <c r="R36" s="266" t="e">
        <f>IF(G12&gt;=75,"Platinum",IF(G12&gt;=65,"Gold",IF(G12&gt;=55,"Silver",IF(G12&gt;=40,"Bronze","Unclassified"))))</f>
        <v>#DIV/0!</v>
      </c>
      <c r="S36" s="267" t="e">
        <f>IF(R36="Platinum",5,IF(R36="Gold",4,IF(R36="Silver",3,IF(R36="Bronze",2,1))))</f>
        <v>#DIV/0!</v>
      </c>
    </row>
    <row r="37" spans="17:19" ht="18.75">
      <c r="Q37" s="281"/>
      <c r="R37" s="265" t="s">
        <v>455</v>
      </c>
      <c r="S37" s="267">
        <f>IF(S24="Yes",5,0)</f>
        <v>0</v>
      </c>
    </row>
    <row r="38" spans="17:19" ht="19.5" thickBot="1">
      <c r="Q38" s="283"/>
      <c r="R38" s="271"/>
      <c r="S38" s="284" t="e">
        <f>MIN(S30:S37)</f>
        <v>#DIV/0!</v>
      </c>
    </row>
  </sheetData>
  <sheetProtection formatRows="0"/>
  <protectedRanges>
    <protectedRange sqref="B6:C10 C11" name="範圍1_1"/>
  </protectedRanges>
  <mergeCells count="1">
    <mergeCell ref="J5:M5"/>
  </mergeCells>
  <phoneticPr fontId="0" type="noConversion"/>
  <conditionalFormatting sqref="J5:M5">
    <cfRule type="cellIs" dxfId="0" priority="1" stopIfTrue="1" operator="notEqual">
      <formula>"-"</formula>
    </cfRule>
  </conditionalFormatting>
  <pageMargins left="0.70866141732283472" right="0.51" top="1.31" bottom="0.74803149606299213" header="0.31496062992125984" footer="0.31496062992125984"/>
  <pageSetup paperSize="8" scale="49" orientation="portrait" r:id="rId1"/>
  <headerFooter alignWithMargins="0">
    <oddHeader>&amp;L&amp;G</oddHeader>
  </headerFooter>
  <drawing r:id="rId2"/>
  <legacyDrawingHF r:id="rId3"/>
</worksheet>
</file>

<file path=customUI/customUI14.xml><?xml version="1.0" encoding="utf-8"?>
<customUI xmlns="http://schemas.microsoft.com/office/2006/01/customui">
  <ribbon>
    <tabs>
      <tab idMso="TabReview">
        <group id="BeamSpellCheckGroup" label="Protected Spell Check" insertAfterMso="GroupChanges">
          <button id="BeamSpellSheet" label="Check Sheet" size="normal" onAction="SpellCheck" imageMso="ViewNormalViewExcel"/>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20</vt:i4>
      </vt:variant>
    </vt:vector>
  </HeadingPairs>
  <TitlesOfParts>
    <vt:vector size="32" baseType="lpstr">
      <vt:lpstr>Project Summary</vt:lpstr>
      <vt:lpstr>SA Comment</vt:lpstr>
      <vt:lpstr>MA Comment</vt:lpstr>
      <vt:lpstr>EU Comment</vt:lpstr>
      <vt:lpstr>EU_Chart</vt:lpstr>
      <vt:lpstr>WU Comment</vt:lpstr>
      <vt:lpstr>IEQ Comment</vt:lpstr>
      <vt:lpstr>IEQ_Chart</vt:lpstr>
      <vt:lpstr>IA Comment</vt:lpstr>
      <vt:lpstr>NA Comment</vt:lpstr>
      <vt:lpstr>Contested Credit</vt:lpstr>
      <vt:lpstr>Result and Graph</vt:lpstr>
      <vt:lpstr>'Contested Credit'!Print_Area</vt:lpstr>
      <vt:lpstr>'EU Comment'!Print_Area</vt:lpstr>
      <vt:lpstr>EU_Chart!Print_Area</vt:lpstr>
      <vt:lpstr>'IA Comment'!Print_Area</vt:lpstr>
      <vt:lpstr>'IEQ Comment'!Print_Area</vt:lpstr>
      <vt:lpstr>IEQ_Chart!Print_Area</vt:lpstr>
      <vt:lpstr>'MA Comment'!Print_Area</vt:lpstr>
      <vt:lpstr>'NA Comment'!Print_Area</vt:lpstr>
      <vt:lpstr>'Project Summary'!Print_Area</vt:lpstr>
      <vt:lpstr>'Result and Graph'!Print_Area</vt:lpstr>
      <vt:lpstr>'SA Comment'!Print_Area</vt:lpstr>
      <vt:lpstr>'WU Comment'!Print_Area</vt:lpstr>
      <vt:lpstr>'Contested Credit'!Print_Titles</vt:lpstr>
      <vt:lpstr>'EU Comment'!Print_Titles</vt:lpstr>
      <vt:lpstr>'IA Comment'!Print_Titles</vt:lpstr>
      <vt:lpstr>'IEQ Comment'!Print_Titles</vt:lpstr>
      <vt:lpstr>'MA Comment'!Print_Titles</vt:lpstr>
      <vt:lpstr>'NA Comment'!Print_Titles</vt:lpstr>
      <vt:lpstr>'SA Comment'!Print_Titles</vt:lpstr>
      <vt:lpstr>'WU Comment'!Print_Titles</vt:lpstr>
    </vt:vector>
  </TitlesOfParts>
  <Company>BEC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vwong</dc:creator>
  <cp:lastModifiedBy>office_install</cp:lastModifiedBy>
  <cp:lastPrinted>2014-05-05T04:49:33Z</cp:lastPrinted>
  <dcterms:created xsi:type="dcterms:W3CDTF">2009-09-17T11:46:51Z</dcterms:created>
  <dcterms:modified xsi:type="dcterms:W3CDTF">2024-10-25T09:11:22Z</dcterms:modified>
</cp:coreProperties>
</file>